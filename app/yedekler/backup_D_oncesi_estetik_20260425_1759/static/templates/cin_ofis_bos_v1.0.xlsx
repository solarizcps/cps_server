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_LABELS" sheetId="2" state="hidden" r:id="rId2"/>
    <sheet xmlns:r="http://schemas.openxmlformats.org/officeDocument/2006/relationships" name="ITEMS" sheetId="3" state="visible" r:id="rId3"/>
    <sheet xmlns:r="http://schemas.openxmlformats.org/officeDocument/2006/relationships" name="PAYMENT" sheetId="4" state="visible" r:id="rId4"/>
    <sheet xmlns:r="http://schemas.openxmlformats.org/officeDocument/2006/relationships" name="FILES" sheetId="5" state="visible" r:id="rId5"/>
  </sheets>
  <definedNames>
    <definedName name="LANG">INFO!$B$2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97316"/>
      <sz val="14"/>
    </font>
    <font>
      <b val="1"/>
      <sz val="10"/>
    </font>
    <font>
      <b val="1"/>
      <color rgb="00F97316"/>
      <sz val="11"/>
    </font>
    <font>
      <b val="1"/>
      <sz val="12"/>
    </font>
    <font>
      <i val="1"/>
      <color rgb="00DC2626"/>
      <sz val="9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3F4F6"/>
      </patternFill>
    </fill>
    <fill>
      <patternFill patternType="solid">
        <fgColor rgb="00FEF3C7"/>
      </patternFill>
    </fill>
    <fill>
      <patternFill patternType="solid">
        <fgColor rgb="00F97316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CC6B1A"/>
      </left>
      <right style="thin">
        <color rgb="00CC6B1A"/>
      </right>
      <top style="thin">
        <color rgb="00CC6B1A"/>
      </top>
      <bottom style="thin">
        <color rgb="00CC6B1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3" borderId="0" pivotButton="0" quotePrefix="0" xfId="0"/>
    <xf numFmtId="0" fontId="4" fillId="0" borderId="0" pivotButton="0" quotePrefix="0" xfId="0"/>
    <xf numFmtId="0" fontId="0" fillId="3" borderId="2" pivotButton="0" quotePrefix="0" xfId="0"/>
    <xf numFmtId="0" fontId="5" fillId="0" borderId="0" pivotButton="0" quotePrefix="0" xfId="0"/>
    <xf numFmtId="0" fontId="6" fillId="4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14" customWidth="1" min="3" max="3"/>
  </cols>
  <sheetData>
    <row r="1">
      <c r="A1" s="1" t="inlineStr">
        <is>
          <t>CPS 中国办公室订单模板</t>
        </is>
      </c>
    </row>
    <row r="2">
      <c r="A2" s="2" t="inlineStr">
        <is>
          <t>语言</t>
        </is>
      </c>
      <c r="B2" s="3" t="inlineStr">
        <is>
          <t>CN</t>
        </is>
      </c>
    </row>
    <row r="3">
      <c r="A3" s="2" t="inlineStr">
        <is>
          <t>模板版本</t>
        </is>
      </c>
      <c r="B3" t="inlineStr">
        <is>
          <t>v1.0</t>
        </is>
      </c>
    </row>
    <row r="4">
      <c r="A4" s="2" t="inlineStr">
        <is>
          <t>修订日期</t>
        </is>
      </c>
      <c r="B4" t="inlineStr">
        <is>
          <t>2026-04-23</t>
        </is>
      </c>
    </row>
    <row r="5">
      <c r="A5" s="4" t="inlineStr">
        <is>
          <t>订单信息</t>
        </is>
      </c>
    </row>
    <row r="6">
      <c r="A6" s="2">
        <f>VLOOKUP("order_code",_LABELS!$A:$C,IF(LANG="EN",2,3),FALSE)</f>
        <v/>
      </c>
      <c r="B6" s="5" t="inlineStr"/>
      <c r="C6" s="6" t="inlineStr">
        <is>
          <t>* 必填</t>
        </is>
      </c>
    </row>
    <row r="7">
      <c r="A7" s="2">
        <f>VLOOKUP("supplier_name",_LABELS!$A:$C,IF(LANG="EN",2,3),FALSE)</f>
        <v/>
      </c>
      <c r="B7" s="5" t="inlineStr"/>
      <c r="C7" s="6" t="inlineStr">
        <is>
          <t>* 必填</t>
        </is>
      </c>
    </row>
    <row r="8">
      <c r="A8" s="2">
        <f>VLOOKUP("supplier_contact",_LABELS!$A:$C,IF(LANG="EN",2,3),FALSE)</f>
        <v/>
      </c>
      <c r="B8" t="inlineStr"/>
    </row>
    <row r="9">
      <c r="A9" s="2">
        <f>VLOOKUP("total_container_count",_LABELS!$A:$C,IF(LANG="EN",2,3),FALSE)</f>
        <v/>
      </c>
      <c r="B9" s="5" t="inlineStr"/>
      <c r="C9" s="6" t="inlineStr">
        <is>
          <t>* 必填</t>
        </is>
      </c>
    </row>
    <row r="10">
      <c r="A10" s="2">
        <f>VLOOKUP("currency",_LABELS!$A:$C,IF(LANG="EN",2,3),FALSE)</f>
        <v/>
      </c>
      <c r="B10" s="5" t="inlineStr">
        <is>
          <t>USD</t>
        </is>
      </c>
      <c r="C10" s="6" t="inlineStr">
        <is>
          <t>* 必填</t>
        </is>
      </c>
    </row>
    <row r="11">
      <c r="A11" s="2">
        <f>VLOOKUP("currency_rate",_LABELS!$A:$C,IF(LANG="EN",2,3),FALSE)</f>
        <v/>
      </c>
      <c r="B11" t="inlineStr"/>
    </row>
    <row r="12">
      <c r="A12" s="2">
        <f>VLOOKUP("shipment_type",_LABELS!$A:$C,IF(LANG="EN",2,3),FALSE)</f>
        <v/>
      </c>
      <c r="B12" s="5" t="inlineStr">
        <is>
          <t>SEA</t>
        </is>
      </c>
      <c r="C12" s="6" t="inlineStr">
        <is>
          <t>* 必填</t>
        </is>
      </c>
    </row>
    <row r="13">
      <c r="A13" s="2">
        <f>VLOOKUP("expected_etd",_LABELS!$A:$C,IF(LANG="EN",2,3),FALSE)</f>
        <v/>
      </c>
      <c r="B13" t="inlineStr"/>
    </row>
    <row r="14">
      <c r="A14" s="2">
        <f>VLOOKUP("expected_eta",_LABELS!$A:$C,IF(LANG="EN",2,3),FALSE)</f>
        <v/>
      </c>
      <c r="B14" t="inlineStr"/>
    </row>
    <row r="15">
      <c r="A15" s="2">
        <f>VLOOKUP("loading_port",_LABELS!$A:$C,IF(LANG="EN",2,3),FALSE)</f>
        <v/>
      </c>
      <c r="B15" t="inlineStr"/>
    </row>
    <row r="16">
      <c r="A16" s="2">
        <f>VLOOKUP("discharge_port",_LABELS!$A:$C,IF(LANG="EN",2,3),FALSE)</f>
        <v/>
      </c>
      <c r="B16" t="inlineStr"/>
    </row>
    <row r="17">
      <c r="A17" s="2">
        <f>VLOOKUP("notes",_LABELS!$A:$C,IF(LANG="EN",2,3),FALSE)</f>
        <v/>
      </c>
      <c r="B17" t="inlineStr"/>
    </row>
  </sheetData>
  <mergeCells count="2">
    <mergeCell ref="A1:C1"/>
    <mergeCell ref="A5:C5"/>
  </mergeCells>
  <dataValidations count="3">
    <dataValidation sqref="B10" showDropDown="0" showInputMessage="0" showErrorMessage="0" allowBlank="0" type="list">
      <formula1>"USD,CNY,EUR,TRY"</formula1>
    </dataValidation>
    <dataValidation sqref="B12" showDropDown="0" showInputMessage="0" showErrorMessage="0" allowBlank="0" type="list">
      <formula1>"SEA,AIR,LAND,DHL"</formula1>
    </dataValidation>
    <dataValidation sqref="B2" showDropDown="0" showInputMessage="0" showErrorMessage="0" allowBlank="0" type="list">
      <formula1>"CN,EN"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EN</t>
        </is>
      </c>
      <c r="C1" t="inlineStr">
        <is>
          <t>CN</t>
        </is>
      </c>
    </row>
    <row r="2">
      <c r="A2" t="inlineStr">
        <is>
          <t>title</t>
        </is>
      </c>
      <c r="B2" t="inlineStr">
        <is>
          <t>CPS Çin Ofis Sipariş Excel</t>
        </is>
      </c>
      <c r="C2" t="inlineStr">
        <is>
          <t>CPS 中国办公室订单模板</t>
        </is>
      </c>
    </row>
    <row r="3">
      <c r="A3" t="inlineStr">
        <is>
          <t>language</t>
        </is>
      </c>
      <c r="B3" t="inlineStr">
        <is>
          <t>Language</t>
        </is>
      </c>
      <c r="C3" t="inlineStr">
        <is>
          <t>语言</t>
        </is>
      </c>
    </row>
    <row r="4">
      <c r="A4" t="inlineStr">
        <is>
          <t>template_version</t>
        </is>
      </c>
      <c r="B4" t="inlineStr">
        <is>
          <t>Template Version</t>
        </is>
      </c>
      <c r="C4" t="inlineStr">
        <is>
          <t>模板版本</t>
        </is>
      </c>
    </row>
    <row r="5">
      <c r="A5" t="inlineStr">
        <is>
          <t>revision_date</t>
        </is>
      </c>
      <c r="B5" t="inlineStr">
        <is>
          <t>Revision Date</t>
        </is>
      </c>
      <c r="C5" t="inlineStr">
        <is>
          <t>修订日期</t>
        </is>
      </c>
    </row>
    <row r="6">
      <c r="A6" t="inlineStr">
        <is>
          <t>info_title</t>
        </is>
      </c>
      <c r="B6" t="inlineStr">
        <is>
          <t>ORDER INFORMATION</t>
        </is>
      </c>
      <c r="C6" t="inlineStr">
        <is>
          <t>订单信息</t>
        </is>
      </c>
    </row>
    <row r="7">
      <c r="A7" t="inlineStr">
        <is>
          <t>order_code</t>
        </is>
      </c>
      <c r="B7" t="inlineStr">
        <is>
          <t>Order Code</t>
        </is>
      </c>
      <c r="C7" t="inlineStr">
        <is>
          <t>订单号</t>
        </is>
      </c>
    </row>
    <row r="8">
      <c r="A8" t="inlineStr">
        <is>
          <t>supplier_name</t>
        </is>
      </c>
      <c r="B8" t="inlineStr">
        <is>
          <t>Supplier Name</t>
        </is>
      </c>
      <c r="C8" t="inlineStr">
        <is>
          <t>供应商名称</t>
        </is>
      </c>
    </row>
    <row r="9">
      <c r="A9" t="inlineStr">
        <is>
          <t>supplier_contact</t>
        </is>
      </c>
      <c r="B9" t="inlineStr">
        <is>
          <t>Supplier Contact</t>
        </is>
      </c>
      <c r="C9" t="inlineStr">
        <is>
          <t>供应商联系人</t>
        </is>
      </c>
    </row>
    <row r="10">
      <c r="A10" t="inlineStr">
        <is>
          <t>total_container_count</t>
        </is>
      </c>
      <c r="B10" t="inlineStr">
        <is>
          <t>Total Container Count</t>
        </is>
      </c>
      <c r="C10" t="inlineStr">
        <is>
          <t>集装箱总数</t>
        </is>
      </c>
    </row>
    <row r="11">
      <c r="A11" t="inlineStr">
        <is>
          <t>currency</t>
        </is>
      </c>
      <c r="B11" t="inlineStr">
        <is>
          <t>Currency</t>
        </is>
      </c>
      <c r="C11" t="inlineStr">
        <is>
          <t>币种</t>
        </is>
      </c>
    </row>
    <row r="12">
      <c r="A12" t="inlineStr">
        <is>
          <t>currency_rate</t>
        </is>
      </c>
      <c r="B12" t="inlineStr">
        <is>
          <t>Currency Rate (optional)</t>
        </is>
      </c>
      <c r="C12" t="inlineStr">
        <is>
          <t>汇率（可选）</t>
        </is>
      </c>
    </row>
    <row r="13">
      <c r="A13" t="inlineStr">
        <is>
          <t>shipment_type</t>
        </is>
      </c>
      <c r="B13" t="inlineStr">
        <is>
          <t>Shipment Type</t>
        </is>
      </c>
      <c r="C13" t="inlineStr">
        <is>
          <t>运输方式</t>
        </is>
      </c>
    </row>
    <row r="14">
      <c r="A14" t="inlineStr">
        <is>
          <t>expected_etd</t>
        </is>
      </c>
      <c r="B14" t="inlineStr">
        <is>
          <t>Expected ETD</t>
        </is>
      </c>
      <c r="C14" t="inlineStr">
        <is>
          <t>预计发货日期</t>
        </is>
      </c>
    </row>
    <row r="15">
      <c r="A15" t="inlineStr">
        <is>
          <t>expected_eta</t>
        </is>
      </c>
      <c r="B15" t="inlineStr">
        <is>
          <t>Expected ETA</t>
        </is>
      </c>
      <c r="C15" t="inlineStr">
        <is>
          <t>预计到港日期</t>
        </is>
      </c>
    </row>
    <row r="16">
      <c r="A16" t="inlineStr">
        <is>
          <t>loading_port</t>
        </is>
      </c>
      <c r="B16" t="inlineStr">
        <is>
          <t>Loading Port</t>
        </is>
      </c>
      <c r="C16" t="inlineStr">
        <is>
          <t>装货港</t>
        </is>
      </c>
    </row>
    <row r="17">
      <c r="A17" t="inlineStr">
        <is>
          <t>discharge_port</t>
        </is>
      </c>
      <c r="B17" t="inlineStr">
        <is>
          <t>Discharge Port</t>
        </is>
      </c>
      <c r="C17" t="inlineStr">
        <is>
          <t>卸货港</t>
        </is>
      </c>
    </row>
    <row r="18">
      <c r="A18" t="inlineStr">
        <is>
          <t>notes</t>
        </is>
      </c>
      <c r="B18" t="inlineStr">
        <is>
          <t>Notes</t>
        </is>
      </c>
      <c r="C18" t="inlineStr">
        <is>
          <t>备注</t>
        </is>
      </c>
    </row>
    <row r="19">
      <c r="A19" t="inlineStr">
        <is>
          <t>required_mark</t>
        </is>
      </c>
      <c r="B19" t="inlineStr">
        <is>
          <t>* required</t>
        </is>
      </c>
      <c r="C19" t="inlineStr">
        <is>
          <t>* 必填</t>
        </is>
      </c>
    </row>
    <row r="20">
      <c r="A20" t="inlineStr">
        <is>
          <t>items_title</t>
        </is>
      </c>
      <c r="B20" t="inlineStr">
        <is>
          <t>LINE ITEMS (Container Based)</t>
        </is>
      </c>
      <c r="C20" t="inlineStr">
        <is>
          <t>订单明细（按集装箱）</t>
        </is>
      </c>
    </row>
    <row r="21">
      <c r="A21" t="inlineStr">
        <is>
          <t>line_no</t>
        </is>
      </c>
      <c r="B21" t="inlineStr">
        <is>
          <t>Line #</t>
        </is>
      </c>
      <c r="C21" t="inlineStr">
        <is>
          <t>行号</t>
        </is>
      </c>
    </row>
    <row r="22">
      <c r="A22" t="inlineStr">
        <is>
          <t>container_group</t>
        </is>
      </c>
      <c r="B22" t="inlineStr">
        <is>
          <t>Container Group</t>
        </is>
      </c>
      <c r="C22" t="inlineStr">
        <is>
          <t>集装箱分组</t>
        </is>
      </c>
    </row>
    <row r="23">
      <c r="A23" t="inlineStr">
        <is>
          <t>container_type</t>
        </is>
      </c>
      <c r="B23" t="inlineStr">
        <is>
          <t>Container Type</t>
        </is>
      </c>
      <c r="C23" t="inlineStr">
        <is>
          <t>集装箱类型</t>
        </is>
      </c>
    </row>
    <row r="24">
      <c r="A24" t="inlineStr">
        <is>
          <t>container_qty</t>
        </is>
      </c>
      <c r="B24" t="inlineStr">
        <is>
          <t>Container Qty</t>
        </is>
      </c>
      <c r="C24" t="inlineStr">
        <is>
          <t>集装箱数量</t>
        </is>
      </c>
    </row>
    <row r="25">
      <c r="A25" t="inlineStr">
        <is>
          <t>quality</t>
        </is>
      </c>
      <c r="B25" t="inlineStr">
        <is>
          <t>Quality</t>
        </is>
      </c>
      <c r="C25" t="inlineStr">
        <is>
          <t>品质等级</t>
        </is>
      </c>
    </row>
    <row r="26">
      <c r="A26" t="inlineStr">
        <is>
          <t>product_name</t>
        </is>
      </c>
      <c r="B26" t="inlineStr">
        <is>
          <t>Product Name</t>
        </is>
      </c>
      <c r="C26" t="inlineStr">
        <is>
          <t>产品名称</t>
        </is>
      </c>
    </row>
    <row r="27">
      <c r="A27" t="inlineStr">
        <is>
          <t>description</t>
        </is>
      </c>
      <c r="B27" t="inlineStr">
        <is>
          <t>Description</t>
        </is>
      </c>
      <c r="C27" t="inlineStr">
        <is>
          <t>备注说明</t>
        </is>
      </c>
    </row>
    <row r="28">
      <c r="A28" t="inlineStr">
        <is>
          <t>qty</t>
        </is>
      </c>
      <c r="B28" t="inlineStr">
        <is>
          <t>Qty</t>
        </is>
      </c>
      <c r="C28" t="inlineStr">
        <is>
          <t>数量</t>
        </is>
      </c>
    </row>
    <row r="29">
      <c r="A29" t="inlineStr">
        <is>
          <t>unit</t>
        </is>
      </c>
      <c r="B29" t="inlineStr">
        <is>
          <t>Unit</t>
        </is>
      </c>
      <c r="C29" t="inlineStr">
        <is>
          <t>单位</t>
        </is>
      </c>
    </row>
    <row r="30">
      <c r="A30" t="inlineStr">
        <is>
          <t>unit_price</t>
        </is>
      </c>
      <c r="B30" t="inlineStr">
        <is>
          <t>Unit Price</t>
        </is>
      </c>
      <c r="C30" t="inlineStr">
        <is>
          <t>单价</t>
        </is>
      </c>
    </row>
    <row r="31">
      <c r="A31" t="inlineStr">
        <is>
          <t>weight_kg</t>
        </is>
      </c>
      <c r="B31" t="inlineStr">
        <is>
          <t>Weight (kg)</t>
        </is>
      </c>
      <c r="C31" t="inlineStr">
        <is>
          <t>重量（公斤）</t>
        </is>
      </c>
    </row>
    <row r="32">
      <c r="A32" t="inlineStr">
        <is>
          <t>line_total</t>
        </is>
      </c>
      <c r="B32" t="inlineStr">
        <is>
          <t>Line Total</t>
        </is>
      </c>
      <c r="C32" t="inlineStr">
        <is>
          <t>小计</t>
        </is>
      </c>
    </row>
    <row r="33">
      <c r="A33" t="inlineStr">
        <is>
          <t>total_items</t>
        </is>
      </c>
      <c r="B33" t="inlineStr">
        <is>
          <t>Total Items</t>
        </is>
      </c>
      <c r="C33" t="inlineStr">
        <is>
          <t>项目总数</t>
        </is>
      </c>
    </row>
    <row r="34">
      <c r="A34" t="inlineStr">
        <is>
          <t>total_containers</t>
        </is>
      </c>
      <c r="B34" t="inlineStr">
        <is>
          <t>Total Containers</t>
        </is>
      </c>
      <c r="C34" t="inlineStr">
        <is>
          <t>集装箱总数</t>
        </is>
      </c>
    </row>
    <row r="35">
      <c r="A35" t="inlineStr">
        <is>
          <t>grand_total</t>
        </is>
      </c>
      <c r="B35" t="inlineStr">
        <is>
          <t>Grand Total</t>
        </is>
      </c>
      <c r="C35" t="inlineStr">
        <is>
          <t>总金额</t>
        </is>
      </c>
    </row>
    <row r="36">
      <c r="A36" t="inlineStr">
        <is>
          <t>payment_title</t>
        </is>
      </c>
      <c r="B36" t="inlineStr">
        <is>
          <t>PAYMENT PLAN</t>
        </is>
      </c>
      <c r="C36" t="inlineStr">
        <is>
          <t>付款计划</t>
        </is>
      </c>
    </row>
    <row r="37">
      <c r="A37" t="inlineStr">
        <is>
          <t>installment</t>
        </is>
      </c>
      <c r="B37" t="inlineStr">
        <is>
          <t>#</t>
        </is>
      </c>
      <c r="C37" t="inlineStr">
        <is>
          <t>序号</t>
        </is>
      </c>
    </row>
    <row r="38">
      <c r="A38" t="inlineStr">
        <is>
          <t>payment_type</t>
        </is>
      </c>
      <c r="B38" t="inlineStr">
        <is>
          <t>Payment Type</t>
        </is>
      </c>
      <c r="C38" t="inlineStr">
        <is>
          <t>付款方式</t>
        </is>
      </c>
    </row>
    <row r="39">
      <c r="A39" t="inlineStr">
        <is>
          <t>ratio</t>
        </is>
      </c>
      <c r="B39" t="inlineStr">
        <is>
          <t>Ratio (%)</t>
        </is>
      </c>
      <c r="C39" t="inlineStr">
        <is>
          <t>比例 (%)</t>
        </is>
      </c>
    </row>
    <row r="40">
      <c r="A40" t="inlineStr">
        <is>
          <t>amount</t>
        </is>
      </c>
      <c r="B40" t="inlineStr">
        <is>
          <t>Amount</t>
        </is>
      </c>
      <c r="C40" t="inlineStr">
        <is>
          <t>金额</t>
        </is>
      </c>
    </row>
    <row r="41">
      <c r="A41" t="inlineStr">
        <is>
          <t>due_date</t>
        </is>
      </c>
      <c r="B41" t="inlineStr">
        <is>
          <t>Due Date</t>
        </is>
      </c>
      <c r="C41" t="inlineStr">
        <is>
          <t>到期日</t>
        </is>
      </c>
    </row>
    <row r="42">
      <c r="A42" t="inlineStr">
        <is>
          <t>trigger</t>
        </is>
      </c>
      <c r="B42" t="inlineStr">
        <is>
          <t>Trigger Event</t>
        </is>
      </c>
      <c r="C42" t="inlineStr">
        <is>
          <t>触发条件</t>
        </is>
      </c>
    </row>
    <row r="43">
      <c r="A43" t="inlineStr">
        <is>
          <t>total_ratio</t>
        </is>
      </c>
      <c r="B43" t="inlineStr">
        <is>
          <t>Total Ratio (must be 100%)</t>
        </is>
      </c>
      <c r="C43" t="inlineStr">
        <is>
          <t>总比例（必须 100%）</t>
        </is>
      </c>
    </row>
    <row r="44">
      <c r="A44" t="inlineStr">
        <is>
          <t>total_amount</t>
        </is>
      </c>
      <c r="B44" t="inlineStr">
        <is>
          <t>Total Amount</t>
        </is>
      </c>
      <c r="C44" t="inlineStr">
        <is>
          <t>总金额</t>
        </is>
      </c>
    </row>
    <row r="45">
      <c r="A45" t="inlineStr">
        <is>
          <t>files_title</t>
        </is>
      </c>
      <c r="B45" t="inlineStr">
        <is>
          <t>FILE REFERENCES</t>
        </is>
      </c>
      <c r="C45" t="inlineStr">
        <is>
          <t>文件清单</t>
        </is>
      </c>
    </row>
    <row r="46">
      <c r="A46" t="inlineStr">
        <is>
          <t>file_name</t>
        </is>
      </c>
      <c r="B46" t="inlineStr">
        <is>
          <t>File Name</t>
        </is>
      </c>
      <c r="C46" t="inlineStr">
        <is>
          <t>文件名</t>
        </is>
      </c>
    </row>
    <row r="47">
      <c r="A47" t="inlineStr">
        <is>
          <t>file_type</t>
        </is>
      </c>
      <c r="B47" t="inlineStr">
        <is>
          <t>File Type</t>
        </is>
      </c>
      <c r="C47" t="inlineStr">
        <is>
          <t>文件类型</t>
        </is>
      </c>
    </row>
    <row r="48">
      <c r="A48" t="inlineStr">
        <is>
          <t>required</t>
        </is>
      </c>
      <c r="B48" t="inlineStr">
        <is>
          <t>Required (Yes/No)</t>
        </is>
      </c>
      <c r="C48" t="inlineStr">
        <is>
          <t>是否必需 (是/否)</t>
        </is>
      </c>
    </row>
    <row r="49">
      <c r="A49" t="inlineStr">
        <is>
          <t>file_description</t>
        </is>
      </c>
      <c r="B49" t="inlineStr">
        <is>
          <t>Description</t>
        </is>
      </c>
      <c r="C49" t="inlineStr">
        <is>
          <t>说明</t>
        </is>
      </c>
    </row>
    <row r="50">
      <c r="A50" t="inlineStr">
        <is>
          <t>preview</t>
        </is>
      </c>
      <c r="B50" t="inlineStr">
        <is>
          <t>Preview</t>
        </is>
      </c>
      <c r="C50" t="inlineStr">
        <is>
          <t>预览</t>
        </is>
      </c>
    </row>
    <row r="51">
      <c r="A51" t="inlineStr">
        <is>
          <t>create_order</t>
        </is>
      </c>
      <c r="B51" t="inlineStr">
        <is>
          <t>Create Order</t>
        </is>
      </c>
      <c r="C51" t="inlineStr">
        <is>
          <t>创建订单</t>
        </is>
      </c>
    </row>
    <row r="52">
      <c r="A52" t="inlineStr">
        <is>
          <t>continue_btn</t>
        </is>
      </c>
      <c r="B52" t="inlineStr">
        <is>
          <t>Continue</t>
        </is>
      </c>
      <c r="C52" t="inlineStr">
        <is>
          <t>继续</t>
        </is>
      </c>
    </row>
    <row r="53">
      <c r="A53" t="inlineStr">
        <is>
          <t>success</t>
        </is>
      </c>
      <c r="B53" t="inlineStr">
        <is>
          <t>Success</t>
        </is>
      </c>
      <c r="C53" t="inlineStr">
        <is>
          <t>成功</t>
        </is>
      </c>
    </row>
    <row r="54">
      <c r="A54" t="inlineStr">
        <is>
          <t>cancel</t>
        </is>
      </c>
      <c r="B54" t="inlineStr">
        <is>
          <t>Cancel</t>
        </is>
      </c>
      <c r="C54" t="inlineStr">
        <is>
          <t>取消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4" customWidth="1" min="4" max="4"/>
    <col width="12" customWidth="1" min="5" max="5"/>
    <col width="26" customWidth="1" min="6" max="6"/>
    <col width="26" customWidth="1" min="7" max="7"/>
    <col width="12" customWidth="1" min="8" max="8"/>
    <col width="10" customWidth="1" min="9" max="9"/>
    <col width="12" customWidth="1" min="10" max="10"/>
    <col width="14" customWidth="1" min="11" max="11"/>
  </cols>
  <sheetData>
    <row r="1">
      <c r="A1" s="1" t="inlineStr">
        <is>
          <t>订单明细（按集装箱）</t>
        </is>
      </c>
    </row>
    <row r="2">
      <c r="A2" s="7">
        <f>VLOOKUP("line_no",_LABELS!$A:$C,IF(LANG="EN",2,3),FALSE)</f>
        <v/>
      </c>
      <c r="B2" s="7">
        <f>VLOOKUP("container_group",_LABELS!$A:$C,IF(LANG="EN",2,3),FALSE)</f>
        <v/>
      </c>
      <c r="C2" s="7">
        <f>VLOOKUP("container_type",_LABELS!$A:$C,IF(LANG="EN",2,3),FALSE)</f>
        <v/>
      </c>
      <c r="D2" s="7">
        <f>VLOOKUP("container_qty",_LABELS!$A:$C,IF(LANG="EN",2,3),FALSE)</f>
        <v/>
      </c>
      <c r="E2" s="7">
        <f>VLOOKUP("quality",_LABELS!$A:$C,IF(LANG="EN",2,3),FALSE)</f>
        <v/>
      </c>
      <c r="F2" s="7">
        <f>VLOOKUP("product_name",_LABELS!$A:$C,IF(LANG="EN",2,3),FALSE)</f>
        <v/>
      </c>
      <c r="G2" s="7">
        <f>VLOOKUP("description",_LABELS!$A:$C,IF(LANG="EN",2,3),FALSE)</f>
        <v/>
      </c>
      <c r="H2" s="7">
        <f>VLOOKUP("qty",_LABELS!$A:$C,IF(LANG="EN",2,3),FALSE)</f>
        <v/>
      </c>
      <c r="I2" s="7">
        <f>VLOOKUP("unit",_LABELS!$A:$C,IF(LANG="EN",2,3),FALSE)</f>
        <v/>
      </c>
      <c r="J2" s="7">
        <f>VLOOKUP("unit_price",_LABELS!$A:$C,IF(LANG="EN",2,3),FALSE)</f>
        <v/>
      </c>
      <c r="K2" s="7">
        <f>VLOOKUP("weight_kg",_LABELS!$A:$C,IF(LANG="EN",2,3),FALSE)</f>
        <v/>
      </c>
    </row>
  </sheetData>
  <mergeCells count="1">
    <mergeCell ref="A1:K1"/>
  </mergeCells>
  <dataValidations count="3">
    <dataValidation sqref="C3:C50" showDropDown="0" showInputMessage="0" showErrorMessage="0" allowBlank="1" type="list">
      <formula1>"20GP,40GP,40HQ,LCL,Break Bulk"</formula1>
    </dataValidation>
    <dataValidation sqref="E3:E50" showDropDown="0" showInputMessage="0" showErrorMessage="0" allowBlank="1" type="list">
      <formula1>"Main,Sample,Other"</formula1>
    </dataValidation>
    <dataValidation sqref="I3:I50" showDropDown="0" showInputMessage="0" showErrorMessage="0" allowBlank="1" type="list">
      <formula1>"kg,pair,pcs,box,ton"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4" customWidth="1" min="4" max="4"/>
    <col width="14" customWidth="1" min="5" max="5"/>
    <col width="28" customWidth="1" min="6" max="6"/>
    <col width="24" customWidth="1" min="7" max="7"/>
  </cols>
  <sheetData>
    <row r="1">
      <c r="A1" s="1" t="inlineStr">
        <is>
          <t>付款计划</t>
        </is>
      </c>
    </row>
    <row r="2">
      <c r="A2" s="7">
        <f>VLOOKUP("installment",_LABELS!$A:$C,IF(LANG="EN",2,3),FALSE)</f>
        <v/>
      </c>
      <c r="B2" s="7">
        <f>VLOOKUP("payment_type",_LABELS!$A:$C,IF(LANG="EN",2,3),FALSE)</f>
        <v/>
      </c>
      <c r="C2" s="7">
        <f>VLOOKUP("ratio",_LABELS!$A:$C,IF(LANG="EN",2,3),FALSE)</f>
        <v/>
      </c>
      <c r="D2" s="7">
        <f>VLOOKUP("amount",_LABELS!$A:$C,IF(LANG="EN",2,3),FALSE)</f>
        <v/>
      </c>
      <c r="E2" s="7">
        <f>VLOOKUP("due_date",_LABELS!$A:$C,IF(LANG="EN",2,3),FALSE)</f>
        <v/>
      </c>
      <c r="F2" s="7">
        <f>VLOOKUP("trigger",_LABELS!$A:$C,IF(LANG="EN",2,3),FALSE)</f>
        <v/>
      </c>
      <c r="G2" s="7">
        <f>VLOOKUP("notes",_LABELS!$A:$C,IF(LANG="EN",2,3),FALSE)</f>
        <v/>
      </c>
    </row>
  </sheetData>
  <mergeCells count="1">
    <mergeCell ref="A1:G1"/>
  </mergeCells>
  <dataValidations count="1">
    <dataValidation sqref="B3:B15" showDropDown="0" showInputMessage="0" showErrorMessage="0" allowBlank="1" type="list">
      <formula1>"Advance TT,Pre-shipment TT,Post-shipment TT,L/C,D/A,D/P,Cash,Check,Other"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6" customWidth="1" min="3" max="3"/>
    <col width="12" customWidth="1" min="4" max="4"/>
    <col width="32" customWidth="1" min="5" max="5"/>
  </cols>
  <sheetData>
    <row r="1">
      <c r="A1" s="1" t="inlineStr">
        <is>
          <t>文件清单</t>
        </is>
      </c>
    </row>
    <row r="2">
      <c r="A2" s="7">
        <f>VLOOKUP("line_no",_LABELS!$A:$C,IF(LANG="EN",2,3),FALSE)</f>
        <v/>
      </c>
      <c r="B2" s="7">
        <f>VLOOKUP("file_name",_LABELS!$A:$C,IF(LANG="EN",2,3),FALSE)</f>
        <v/>
      </c>
      <c r="C2" s="7">
        <f>VLOOKUP("file_type",_LABELS!$A:$C,IF(LANG="EN",2,3),FALSE)</f>
        <v/>
      </c>
      <c r="D2" s="7">
        <f>VLOOKUP("required",_LABELS!$A:$C,IF(LANG="EN",2,3),FALSE)</f>
        <v/>
      </c>
      <c r="E2" s="7">
        <f>VLOOKUP("file_description",_LABELS!$A:$C,IF(LANG="EN",2,3),FALSE)</f>
        <v/>
      </c>
    </row>
  </sheetData>
  <mergeCells count="1">
    <mergeCell ref="A1:E1"/>
  </mergeCells>
  <dataValidations count="2">
    <dataValidation sqref="C3:C25" showDropDown="0" showInputMessage="0" showErrorMessage="0" allowBlank="1" type="list">
      <formula1>"Proforma,Invoice,Image,Test Report,Certificate,Contract,Other"</formula1>
    </dataValidation>
    <dataValidation sqref="D3:D2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2026-04-23T07:15:53Z</dcterms:created>
  <dcterms:modified xmlns:dcterms="http://purl.org/dc/terms/" xmlns:xsi="http://www.w3.org/2001/XMLSchema-instance" xsi:type="dcterms:W3CDTF">2026-04-23T07:15:53Z</dcterms:modified>
</cp:coreProperties>
</file>