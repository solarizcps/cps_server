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Genel Dökümanlar\cin ofis için gerekli dokumanlar\"/>
    </mc:Choice>
  </mc:AlternateContent>
  <xr:revisionPtr revIDLastSave="0" documentId="8_{574AAB19-4394-49D6-9F6E-BFDC9F388D10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00_README_CN" sheetId="1" r:id="rId1"/>
    <sheet name="CI_UPLOAD" sheetId="2" r:id="rId2"/>
    <sheet name="PI_UPLOAD" sheetId="3" r:id="rId3"/>
    <sheet name="PL_UPLOAD" sheetId="4" r:id="rId4"/>
    <sheet name="PAYMENT_TERMS" sheetId="5" r:id="rId5"/>
    <sheet name="COST_ITEMS" sheetId="6" r:id="rId6"/>
    <sheet name="CHINA_MESSAGE" sheetId="7" r:id="rId7"/>
    <sheet name="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5" l="1"/>
  <c r="D16" i="5"/>
  <c r="D13" i="5"/>
  <c r="D12" i="5"/>
  <c r="D11" i="5"/>
  <c r="I22" i="4"/>
  <c r="I21" i="4"/>
  <c r="I20" i="4"/>
  <c r="I19" i="4"/>
  <c r="H22" i="3"/>
  <c r="H21" i="3"/>
  <c r="H20" i="3"/>
  <c r="H14" i="3"/>
  <c r="H13" i="3"/>
  <c r="H22" i="2"/>
  <c r="H21" i="2"/>
  <c r="H20" i="2"/>
  <c r="H14" i="2"/>
  <c r="H13" i="2"/>
</calcChain>
</file>

<file path=xl/sharedStrings.xml><?xml version="1.0" encoding="utf-8"?>
<sst xmlns="http://schemas.openxmlformats.org/spreadsheetml/2006/main" count="769" uniqueCount="164">
  <si>
    <t>CPS China Office Standard Forms V4 — Parser Friendly / 适合系统读取的标准模板</t>
  </si>
  <si>
    <t/>
  </si>
  <si>
    <t>Purpose / 用途</t>
  </si>
  <si>
    <t>Use this workbook as the official China office data template. Keep sheet names and headers unchanged.</t>
  </si>
  <si>
    <t>请中国办公室以后固定使用此模板，不能修改工作表名称和表头。</t>
  </si>
  <si>
    <t>Rule / 规则</t>
  </si>
  <si>
    <t>English</t>
  </si>
  <si>
    <t>中文</t>
  </si>
  <si>
    <t>Importance</t>
  </si>
  <si>
    <t>1</t>
  </si>
  <si>
    <t>Do not change sheet names.</t>
  </si>
  <si>
    <t>不要修改工作表名称。</t>
  </si>
  <si>
    <t>Critical</t>
  </si>
  <si>
    <t>2</t>
  </si>
  <si>
    <t>Do not add/delete/reorder columns.</t>
  </si>
  <si>
    <t>不要增加、删除或移动列。</t>
  </si>
  <si>
    <t>3</t>
  </si>
  <si>
    <t>Use only USD in CI/PI upload sheets for now.</t>
  </si>
  <si>
    <t>目前 CI/PI 上传表只使用 USD。</t>
  </si>
  <si>
    <t>4</t>
  </si>
  <si>
    <t>One product per row. Do not merge cells in data table.</t>
  </si>
  <si>
    <t>每个产品一行，数据表内不要合并单元格。</t>
  </si>
  <si>
    <t>5</t>
  </si>
  <si>
    <t>Formula check: Qty × Unit Price = Amount.</t>
  </si>
  <si>
    <t>数量 × 单价 = 总金额。</t>
  </si>
  <si>
    <t>6</t>
  </si>
  <si>
    <t>Supplier, PI/Invoice Ref, Currency and Total Pairs must be filled.</t>
  </si>
  <si>
    <t>供应商、PI/发票号、币种、总双数必须填写。</t>
  </si>
  <si>
    <t>7</t>
  </si>
  <si>
    <t>For CPS upload now: use single upload sheets: CI_UPLOAD, PL_UPLOAD, PAYMENT_TERMS, COST_ITEMS.</t>
  </si>
  <si>
    <t>目前上传 CPS 时使用单独上传页：CI_UPLOAD、PL_UPLOAD、PAYMENT_TERMS、COST_ITEMS。</t>
  </si>
  <si>
    <t>Important</t>
  </si>
  <si>
    <t>8</t>
  </si>
  <si>
    <t>Photos can be kept in supplier files, but CPS parser reads product code/spec/qty/amount.</t>
  </si>
  <si>
    <t>图片可保留在供应商文件中，但 CPS 主要读取产品编码、规格、数量、金额。</t>
  </si>
  <si>
    <t>Commercial Invoice Upload — System Readable / 商业发票上传表</t>
  </si>
  <si>
    <t>HEADER (must fill) / 表头信息（必须填写）</t>
  </si>
  <si>
    <t>Field</t>
  </si>
  <si>
    <t>Value</t>
  </si>
  <si>
    <t>中文说明</t>
  </si>
  <si>
    <t>Example</t>
  </si>
  <si>
    <t>Supplier Name</t>
  </si>
  <si>
    <t>Chengyu Global Trading Co., Limited</t>
  </si>
  <si>
    <t>供应商名称</t>
  </si>
  <si>
    <t>Invoice No</t>
  </si>
  <si>
    <t>PI20260402-2</t>
  </si>
  <si>
    <t>发票/PI编号</t>
  </si>
  <si>
    <t>Invoice Date</t>
  </si>
  <si>
    <t>2026-04-26</t>
  </si>
  <si>
    <t>发票日期</t>
  </si>
  <si>
    <t>Currency</t>
  </si>
  <si>
    <t>USD</t>
  </si>
  <si>
    <t>币种</t>
  </si>
  <si>
    <t>Incoterm</t>
  </si>
  <si>
    <t>EXW</t>
  </si>
  <si>
    <t>贸易条款</t>
  </si>
  <si>
    <t>CFR / EXW / FOB</t>
  </si>
  <si>
    <t>Total Pairs</t>
  </si>
  <si>
    <t>总双数</t>
  </si>
  <si>
    <t>ITEM TABLE — do not change headers / 产品明细表 — 不要修改表头</t>
  </si>
  <si>
    <t>Item No</t>
  </si>
  <si>
    <t>Product Code</t>
  </si>
  <si>
    <t>Spec</t>
  </si>
  <si>
    <t>Color</t>
  </si>
  <si>
    <t>Size Range</t>
  </si>
  <si>
    <t>Unit Price USD</t>
  </si>
  <si>
    <t>Qty Pairs</t>
  </si>
  <si>
    <t>Amount USD</t>
  </si>
  <si>
    <t>‘2507-1</t>
  </si>
  <si>
    <t xml:space="preserve">LIGHTING ACCESSORIES 2501-1
Hs code 851310009000 </t>
  </si>
  <si>
    <t>long (boy item)
Red-Yellow color</t>
  </si>
  <si>
    <t>long</t>
  </si>
  <si>
    <t>‘2507-2</t>
  </si>
  <si>
    <t xml:space="preserve">LIGHTING ACCESSORIES 2501-2 Hs code 851310009000 </t>
  </si>
  <si>
    <t>long (boy item)
white color</t>
  </si>
  <si>
    <t>CHECK / 检查</t>
  </si>
  <si>
    <t>Total Amount USD</t>
  </si>
  <si>
    <t>Total Qty Pairs</t>
  </si>
  <si>
    <t>Unit Cost USD/Pair</t>
  </si>
  <si>
    <t>Proforma Invoice Upload — System Readable / 形式发票上传表</t>
  </si>
  <si>
    <t>PI No</t>
  </si>
  <si>
    <t>PI编号</t>
  </si>
  <si>
    <t>Packing List Upload — System Readable / 装箱单上传表</t>
  </si>
  <si>
    <t>Packing List No</t>
  </si>
  <si>
    <t>PL20260402-2</t>
  </si>
  <si>
    <t>装箱单号</t>
  </si>
  <si>
    <t>Date</t>
  </si>
  <si>
    <t>日期</t>
  </si>
  <si>
    <t>Total Cartons</t>
  </si>
  <si>
    <t>总箱数</t>
  </si>
  <si>
    <t>Total KG</t>
  </si>
  <si>
    <t>总重量</t>
  </si>
  <si>
    <t>Total CBM</t>
  </si>
  <si>
    <t>总体积</t>
  </si>
  <si>
    <t>Cartons</t>
  </si>
  <si>
    <t>Gross KG</t>
  </si>
  <si>
    <t>CBM</t>
  </si>
  <si>
    <t>Payment Terms Upload / 付款计划上传表</t>
  </si>
  <si>
    <t>PI/Invoice Ref</t>
  </si>
  <si>
    <t>PI/发票号</t>
  </si>
  <si>
    <t>Total Amount</t>
  </si>
  <si>
    <t>总金额</t>
  </si>
  <si>
    <t>PAYMENT TABLE — do not change headers / 付款明细表 — 不要修改表头</t>
  </si>
  <si>
    <t>Seq</t>
  </si>
  <si>
    <t>Payment Type</t>
  </si>
  <si>
    <t>Payment %</t>
  </si>
  <si>
    <t>Payment Amount</t>
  </si>
  <si>
    <t>Expected Date</t>
  </si>
  <si>
    <t>Status</t>
  </si>
  <si>
    <t>Notes</t>
  </si>
  <si>
    <t>PREPAID</t>
  </si>
  <si>
    <t>UNPAID</t>
  </si>
  <si>
    <t>30% advance</t>
  </si>
  <si>
    <t>BEFORE_SHIPMENT</t>
  </si>
  <si>
    <t>2026-05-15</t>
  </si>
  <si>
    <t>40% before shipment</t>
  </si>
  <si>
    <t>AFTER_ARRIVAL</t>
  </si>
  <si>
    <t>2026-06-26</t>
  </si>
  <si>
    <t>30% after arrival</t>
  </si>
  <si>
    <t>Payment Total</t>
  </si>
  <si>
    <t>Difference</t>
  </si>
  <si>
    <t>Other Cost Items Upload / 其他费用上传表</t>
  </si>
  <si>
    <t>Use this for freight, insurance, customs, warehouse, commission. / 运费、保险、关税、仓储、佣金等费用使用此表。</t>
  </si>
  <si>
    <t>Cost Type</t>
  </si>
  <si>
    <t>Description</t>
  </si>
  <si>
    <t>Amount</t>
  </si>
  <si>
    <t>Source</t>
  </si>
  <si>
    <t>Vendor</t>
  </si>
  <si>
    <t>NAVLUN</t>
  </si>
  <si>
    <t>Air freight</t>
  </si>
  <si>
    <t>GERCEKLESEN</t>
  </si>
  <si>
    <t>KTH2026000001014</t>
  </si>
  <si>
    <t>KTL</t>
  </si>
  <si>
    <t>SIGORTA</t>
  </si>
  <si>
    <t>Insurance</t>
  </si>
  <si>
    <t>GUMRUK</t>
  </si>
  <si>
    <t>Customs / tax</t>
  </si>
  <si>
    <t>TRY</t>
  </si>
  <si>
    <t>Message to China Office / 给中国办公室的说明</t>
  </si>
  <si>
    <t>Copy/Send</t>
  </si>
  <si>
    <t>Please use this V4 template for all future PI, Commercial Invoice, Packing List and Payment Terms.</t>
  </si>
  <si>
    <t>以后所有 PI、商业发票、装箱单和付款计划都请使用此 V4 模板。</t>
  </si>
  <si>
    <t>YES</t>
  </si>
  <si>
    <t>Do not modify sheet names or column names.</t>
  </si>
  <si>
    <t>不要修改工作表名称和列名。</t>
  </si>
  <si>
    <t>Commercial Invoice upload must use the CI_UPLOAD sheet format.</t>
  </si>
  <si>
    <t>商业发票必须使用 CI_UPLOAD 表的格式。</t>
  </si>
  <si>
    <t>Packing List upload must use the PL_UPLOAD sheet format.</t>
  </si>
  <si>
    <t>装箱单必须使用 PL_UPLOAD 表的格式。</t>
  </si>
  <si>
    <t>Payment terms must be filled in PAYMENT_TERMS.</t>
  </si>
  <si>
    <t>付款计划必须填写 PAYMENT_TERMS。</t>
  </si>
  <si>
    <t>Product Code, Spec, Unit Price, Qty and Amount must be filled for every item.</t>
  </si>
  <si>
    <t>每个产品必须填写产品编码、规格、单价、数量和金额。</t>
  </si>
  <si>
    <t>If a field is unknown, write UNKNOWN instead of leaving it blank.</t>
  </si>
  <si>
    <t>如果某个信息不知道，请填写 UNKNOWN，不要留空。</t>
  </si>
  <si>
    <t>Lists / 下拉列表</t>
  </si>
  <si>
    <t>FOB</t>
  </si>
  <si>
    <t>EUR</t>
  </si>
  <si>
    <t>CNY</t>
  </si>
  <si>
    <t>OPEN_ACCOUNT</t>
  </si>
  <si>
    <t>OTHER</t>
  </si>
  <si>
    <t>DEPOLAMA</t>
  </si>
  <si>
    <t>KOMISYON</t>
  </si>
  <si>
    <t>DIGER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</si>
</sst>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yyyy\-mm\-dd"/>
  </numFmts>
  <fonts count="11">
    <font>
      <sz val="11"/>
      <name val="Carlito"/>
      <charset val="134"/>
    </font>
    <font>
      <b/>
      <sz val="11"/>
      <color rgb="FF111827"/>
      <name val="Carlito"/>
      <charset val="134"/>
    </font>
    <font>
      <sz val="11"/>
      <color rgb="FF111827"/>
      <name val="Carlito"/>
      <charset val="134"/>
    </font>
    <font>
      <b/>
      <sz val="11"/>
      <color rgb="FF1E40AF"/>
      <name val="Carlito"/>
      <charset val="134"/>
    </font>
    <font>
      <b/>
      <sz val="11"/>
      <color rgb="FF92400E"/>
      <name val="Carlito"/>
      <charset val="134"/>
    </font>
    <font>
      <b/>
      <sz val="11"/>
      <color rgb="FF166534"/>
      <name val="Carlito"/>
      <charset val="134"/>
    </font>
    <font>
      <sz val="12"/>
      <name val="Times New Roman"/>
    </font>
    <font>
      <b/>
      <sz val="11"/>
      <color rgb="FF5B21B6"/>
      <name val="Carlito"/>
      <charset val="134"/>
    </font>
    <font>
      <b/>
      <sz val="11"/>
      <color rgb="FF1E3A8A"/>
      <name val="Carlito"/>
      <charset val="134"/>
    </font>
    <font>
      <sz val="12"/>
      <name val="宋体"/>
      <charset val="134"/>
    </font>
    <font>
      <sz val="11"/>
      <name val="Carlito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7D6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DE9F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9" fillId="0" borderId="0"/>
  </cellStyleXfs>
  <cellXfs count="27">
    <xf numFmtId="0" fontId="0" fillId="0" borderId="0" xfId="0" applyAlignment="1"/>
    <xf numFmtId="0" fontId="1" fillId="2" borderId="0" xfId="1" applyFont="1" applyFill="1" applyAlignment="1">
      <alignment wrapText="1"/>
    </xf>
    <xf numFmtId="0" fontId="2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1" fillId="4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0" fontId="3" fillId="5" borderId="0" xfId="1" applyFont="1" applyFill="1" applyAlignment="1">
      <alignment wrapText="1"/>
    </xf>
    <xf numFmtId="4" fontId="2" fillId="0" borderId="0" xfId="1" applyNumberFormat="1" applyFont="1" applyAlignment="1">
      <alignment wrapText="1"/>
    </xf>
    <xf numFmtId="4" fontId="10" fillId="0" borderId="0" xfId="1" applyNumberFormat="1"/>
    <xf numFmtId="0" fontId="2" fillId="6" borderId="0" xfId="1" applyFont="1" applyFill="1" applyAlignment="1">
      <alignment wrapText="1"/>
    </xf>
    <xf numFmtId="0" fontId="4" fillId="7" borderId="0" xfId="1" applyFont="1" applyFill="1" applyAlignment="1">
      <alignment wrapText="1"/>
    </xf>
    <xf numFmtId="168" fontId="2" fillId="0" borderId="0" xfId="1" applyNumberFormat="1" applyFont="1" applyAlignment="1">
      <alignment wrapText="1"/>
    </xf>
    <xf numFmtId="0" fontId="2" fillId="8" borderId="0" xfId="1" applyFont="1" applyFill="1" applyAlignment="1">
      <alignment wrapText="1"/>
    </xf>
    <xf numFmtId="4" fontId="2" fillId="8" borderId="0" xfId="1" applyNumberFormat="1" applyFont="1" applyFill="1" applyAlignment="1">
      <alignment wrapText="1"/>
    </xf>
    <xf numFmtId="168" fontId="2" fillId="8" borderId="0" xfId="1" applyNumberFormat="1" applyFont="1" applyFill="1" applyAlignment="1">
      <alignment wrapText="1"/>
    </xf>
    <xf numFmtId="168" fontId="10" fillId="0" borderId="0" xfId="1" applyNumberFormat="1"/>
    <xf numFmtId="0" fontId="5" fillId="9" borderId="0" xfId="1" applyFont="1" applyFill="1" applyAlignment="1">
      <alignment wrapText="1"/>
    </xf>
    <xf numFmtId="17" fontId="6" fillId="0" borderId="0" xfId="2" applyNumberFormat="1" applyFont="1" applyAlignment="1">
      <alignment horizontal="center" vertical="center" wrapText="1"/>
    </xf>
    <xf numFmtId="0" fontId="10" fillId="0" borderId="0" xfId="1" applyAlignment="1">
      <alignment vertical="center" wrapText="1"/>
    </xf>
    <xf numFmtId="49" fontId="6" fillId="0" borderId="0" xfId="2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4" fontId="10" fillId="0" borderId="0" xfId="1" applyNumberFormat="1" applyAlignment="1">
      <alignment horizontal="center" vertical="center" wrapText="1"/>
    </xf>
    <xf numFmtId="4" fontId="2" fillId="0" borderId="0" xfId="1" applyNumberFormat="1" applyFont="1" applyAlignment="1">
      <alignment horizontal="center" vertical="center" wrapText="1"/>
    </xf>
    <xf numFmtId="0" fontId="7" fillId="10" borderId="0" xfId="1" applyFont="1" applyFill="1" applyAlignment="1">
      <alignment wrapText="1"/>
    </xf>
    <xf numFmtId="49" fontId="6" fillId="0" borderId="0" xfId="2" applyNumberFormat="1" applyFont="1" applyAlignment="1">
      <alignment horizontal="left" vertical="center" wrapText="1"/>
    </xf>
    <xf numFmtId="3" fontId="2" fillId="0" borderId="0" xfId="1" applyNumberFormat="1" applyFont="1" applyAlignment="1">
      <alignment wrapText="1"/>
    </xf>
    <xf numFmtId="0" fontId="8" fillId="5" borderId="0" xfId="1" applyFont="1" applyFill="1" applyAlignment="1">
      <alignment wrapText="1"/>
    </xf>
  </cellXfs>
  <cellStyles count="3">
    <cellStyle name="Normal" xfId="0" builtinId="0"/>
    <cellStyle name="Normal 2" xfId="1" xr:uid="{00000000-0005-0000-0000-000031000000}"/>
    <cellStyle name="常规_Sheet1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6" sqref="B16"/>
    </sheetView>
  </sheetViews>
  <sheetFormatPr defaultColWidth="9" defaultRowHeight="13.5"/>
  <cols>
    <col min="1" max="1" width="12" customWidth="1"/>
    <col min="2" max="3" width="58" customWidth="1"/>
    <col min="4" max="4" width="16" customWidth="1"/>
  </cols>
  <sheetData>
    <row r="1" spans="1:4" ht="27.95" customHeight="1">
      <c r="A1" s="4" t="s">
        <v>0</v>
      </c>
      <c r="B1" s="4" t="s">
        <v>1</v>
      </c>
      <c r="C1" s="4" t="s">
        <v>1</v>
      </c>
      <c r="D1" s="4" t="s">
        <v>1</v>
      </c>
    </row>
    <row r="2" spans="1:4" ht="27">
      <c r="A2" s="2" t="s">
        <v>2</v>
      </c>
      <c r="B2" s="2" t="s">
        <v>3</v>
      </c>
      <c r="C2" s="2" t="s">
        <v>4</v>
      </c>
      <c r="D2" s="2" t="s">
        <v>1</v>
      </c>
    </row>
    <row r="3" spans="1:4" ht="24" customHeight="1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2" t="s">
        <v>9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12</v>
      </c>
    </row>
    <row r="6" spans="1:4">
      <c r="A6" s="2" t="s">
        <v>16</v>
      </c>
      <c r="B6" s="2" t="s">
        <v>17</v>
      </c>
      <c r="C6" s="2" t="s">
        <v>18</v>
      </c>
      <c r="D6" s="2" t="s">
        <v>12</v>
      </c>
    </row>
    <row r="7" spans="1:4">
      <c r="A7" s="2" t="s">
        <v>19</v>
      </c>
      <c r="B7" s="2" t="s">
        <v>20</v>
      </c>
      <c r="C7" s="2" t="s">
        <v>21</v>
      </c>
      <c r="D7" s="2" t="s">
        <v>12</v>
      </c>
    </row>
    <row r="8" spans="1:4">
      <c r="A8" s="2" t="s">
        <v>22</v>
      </c>
      <c r="B8" s="2" t="s">
        <v>23</v>
      </c>
      <c r="C8" s="2" t="s">
        <v>24</v>
      </c>
      <c r="D8" s="2" t="s">
        <v>12</v>
      </c>
    </row>
    <row r="9" spans="1:4" ht="27">
      <c r="A9" s="2" t="s">
        <v>25</v>
      </c>
      <c r="B9" s="2" t="s">
        <v>26</v>
      </c>
      <c r="C9" s="2" t="s">
        <v>27</v>
      </c>
      <c r="D9" s="2" t="s">
        <v>12</v>
      </c>
    </row>
    <row r="10" spans="1:4" ht="40.5">
      <c r="A10" s="2" t="s">
        <v>28</v>
      </c>
      <c r="B10" s="2" t="s">
        <v>29</v>
      </c>
      <c r="C10" s="2" t="s">
        <v>30</v>
      </c>
      <c r="D10" s="2" t="s">
        <v>31</v>
      </c>
    </row>
    <row r="11" spans="1:4" ht="27">
      <c r="A11" s="2" t="s">
        <v>32</v>
      </c>
      <c r="B11" s="2" t="s">
        <v>33</v>
      </c>
      <c r="C11" s="2" t="s">
        <v>34</v>
      </c>
      <c r="D11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selection activeCell="B2" sqref="B2"/>
    </sheetView>
  </sheetViews>
  <sheetFormatPr defaultColWidth="9" defaultRowHeight="13.5"/>
  <cols>
    <col min="1" max="1" width="12" customWidth="1"/>
    <col min="2" max="2" width="20" customWidth="1"/>
    <col min="3" max="3" width="44" customWidth="1"/>
    <col min="4" max="4" width="14" customWidth="1"/>
    <col min="5" max="6" width="16" customWidth="1"/>
    <col min="7" max="7" width="14" customWidth="1"/>
    <col min="8" max="8" width="16" customWidth="1"/>
  </cols>
  <sheetData>
    <row r="1" spans="1:8" ht="27.95" customHeight="1">
      <c r="A1" s="1" t="s">
        <v>35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ht="67.5">
      <c r="A2" s="2" t="s">
        <v>36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 ht="24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ht="54">
      <c r="A4" s="2" t="s">
        <v>41</v>
      </c>
      <c r="B4" s="9" t="s">
        <v>42</v>
      </c>
      <c r="C4" s="2" t="s">
        <v>43</v>
      </c>
      <c r="D4" s="2" t="s">
        <v>42</v>
      </c>
      <c r="E4" s="2" t="s">
        <v>1</v>
      </c>
      <c r="F4" s="2" t="s">
        <v>1</v>
      </c>
      <c r="G4" s="2" t="s">
        <v>1</v>
      </c>
      <c r="H4" s="2" t="s">
        <v>1</v>
      </c>
    </row>
    <row r="5" spans="1:8">
      <c r="A5" s="2" t="s">
        <v>44</v>
      </c>
      <c r="B5" s="9" t="s">
        <v>45</v>
      </c>
      <c r="C5" s="2" t="s">
        <v>46</v>
      </c>
      <c r="D5" s="2" t="s">
        <v>45</v>
      </c>
      <c r="E5" s="2" t="s">
        <v>1</v>
      </c>
      <c r="F5" s="2" t="s">
        <v>1</v>
      </c>
      <c r="G5" s="2" t="s">
        <v>1</v>
      </c>
      <c r="H5" s="2" t="s">
        <v>1</v>
      </c>
    </row>
    <row r="6" spans="1:8" ht="27">
      <c r="A6" s="2" t="s">
        <v>47</v>
      </c>
      <c r="B6" s="9" t="s">
        <v>48</v>
      </c>
      <c r="C6" s="2" t="s">
        <v>49</v>
      </c>
      <c r="D6" s="2" t="s">
        <v>48</v>
      </c>
      <c r="E6" s="2" t="s">
        <v>1</v>
      </c>
      <c r="F6" s="2" t="s">
        <v>1</v>
      </c>
      <c r="G6" s="2" t="s">
        <v>1</v>
      </c>
      <c r="H6" s="2" t="s">
        <v>1</v>
      </c>
    </row>
    <row r="7" spans="1:8">
      <c r="A7" s="2" t="s">
        <v>50</v>
      </c>
      <c r="B7" s="9" t="s">
        <v>51</v>
      </c>
      <c r="C7" s="2" t="s">
        <v>52</v>
      </c>
      <c r="D7" s="2" t="s">
        <v>51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 ht="27">
      <c r="A8" s="2" t="s">
        <v>53</v>
      </c>
      <c r="B8" s="9" t="s">
        <v>54</v>
      </c>
      <c r="C8" s="2" t="s">
        <v>55</v>
      </c>
      <c r="D8" s="2" t="s">
        <v>56</v>
      </c>
      <c r="E8" s="2" t="s">
        <v>1</v>
      </c>
      <c r="F8" s="2" t="s">
        <v>1</v>
      </c>
      <c r="G8" s="2" t="s">
        <v>1</v>
      </c>
      <c r="H8" s="2" t="s">
        <v>1</v>
      </c>
    </row>
    <row r="9" spans="1:8">
      <c r="A9" s="2" t="s">
        <v>57</v>
      </c>
      <c r="B9" s="9">
        <v>15000</v>
      </c>
      <c r="C9" s="2" t="s">
        <v>58</v>
      </c>
      <c r="D9" s="2">
        <v>15000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>
      <c r="A10" s="2" t="s">
        <v>1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</row>
    <row r="11" spans="1:8" ht="108">
      <c r="A11" s="2" t="s">
        <v>59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</row>
    <row r="12" spans="1:8" ht="27">
      <c r="A12" s="26" t="s">
        <v>60</v>
      </c>
      <c r="B12" s="26" t="s">
        <v>61</v>
      </c>
      <c r="C12" s="26" t="s">
        <v>62</v>
      </c>
      <c r="D12" s="26" t="s">
        <v>63</v>
      </c>
      <c r="E12" s="26" t="s">
        <v>64</v>
      </c>
      <c r="F12" s="26" t="s">
        <v>65</v>
      </c>
      <c r="G12" s="26" t="s">
        <v>66</v>
      </c>
      <c r="H12" s="26" t="s">
        <v>67</v>
      </c>
    </row>
    <row r="13" spans="1:8" ht="47.25">
      <c r="A13" s="2">
        <v>1</v>
      </c>
      <c r="B13" s="17" t="s">
        <v>68</v>
      </c>
      <c r="C13" s="18" t="s">
        <v>69</v>
      </c>
      <c r="D13" s="24" t="s">
        <v>70</v>
      </c>
      <c r="E13" s="20" t="s">
        <v>71</v>
      </c>
      <c r="F13" s="21">
        <v>0.53700000000000003</v>
      </c>
      <c r="G13" s="21">
        <v>10000</v>
      </c>
      <c r="H13" s="22">
        <f>F13*G13</f>
        <v>5370</v>
      </c>
    </row>
    <row r="14" spans="1:8" ht="31.5">
      <c r="A14" s="2">
        <v>2</v>
      </c>
      <c r="B14" s="17" t="s">
        <v>72</v>
      </c>
      <c r="C14" s="18" t="s">
        <v>73</v>
      </c>
      <c r="D14" s="24" t="s">
        <v>74</v>
      </c>
      <c r="E14" s="20" t="s">
        <v>71</v>
      </c>
      <c r="F14" s="21">
        <v>0.53700000000000003</v>
      </c>
      <c r="G14" s="21">
        <v>5000</v>
      </c>
      <c r="H14" s="22">
        <f>F14*G14</f>
        <v>2685</v>
      </c>
    </row>
    <row r="15" spans="1:8">
      <c r="A15" s="2">
        <v>3</v>
      </c>
      <c r="B15" s="2" t="s">
        <v>1</v>
      </c>
      <c r="C15" s="2" t="s">
        <v>1</v>
      </c>
      <c r="D15" s="2" t="s">
        <v>1</v>
      </c>
      <c r="E15" s="2" t="s">
        <v>1</v>
      </c>
      <c r="F15" s="7" t="s">
        <v>1</v>
      </c>
      <c r="G15" s="25" t="s">
        <v>1</v>
      </c>
      <c r="H15" s="7" t="s">
        <v>1</v>
      </c>
    </row>
    <row r="16" spans="1:8">
      <c r="A16" s="2">
        <v>4</v>
      </c>
      <c r="B16" s="2" t="s">
        <v>1</v>
      </c>
      <c r="C16" s="2" t="s">
        <v>1</v>
      </c>
      <c r="D16" s="2" t="s">
        <v>1</v>
      </c>
      <c r="E16" s="2" t="s">
        <v>1</v>
      </c>
      <c r="F16" s="7" t="s">
        <v>1</v>
      </c>
      <c r="G16" s="25" t="s">
        <v>1</v>
      </c>
      <c r="H16" s="7" t="s">
        <v>1</v>
      </c>
    </row>
    <row r="17" spans="1:8">
      <c r="A17" s="2">
        <v>5</v>
      </c>
      <c r="B17" s="2" t="s">
        <v>1</v>
      </c>
      <c r="C17" s="2" t="s">
        <v>1</v>
      </c>
      <c r="D17" s="2" t="s">
        <v>1</v>
      </c>
      <c r="E17" s="2" t="s">
        <v>1</v>
      </c>
      <c r="F17" s="7" t="s">
        <v>1</v>
      </c>
      <c r="G17" s="25" t="s">
        <v>1</v>
      </c>
      <c r="H17" s="7" t="s">
        <v>1</v>
      </c>
    </row>
    <row r="18" spans="1:8">
      <c r="A18" s="2" t="s">
        <v>1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</row>
    <row r="19" spans="1:8" ht="27">
      <c r="A19" s="2" t="s">
        <v>75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</row>
    <row r="20" spans="1:8" ht="27">
      <c r="A20" s="12" t="s">
        <v>76</v>
      </c>
      <c r="B20" s="12" t="s">
        <v>1</v>
      </c>
      <c r="C20" s="12" t="s">
        <v>1</v>
      </c>
      <c r="D20" s="12" t="s">
        <v>1</v>
      </c>
      <c r="E20" s="12" t="s">
        <v>1</v>
      </c>
      <c r="F20" s="12" t="s">
        <v>1</v>
      </c>
      <c r="G20" s="12" t="s">
        <v>1</v>
      </c>
      <c r="H20" s="13">
        <f>SUM(H13:H17)</f>
        <v>8055</v>
      </c>
    </row>
    <row r="21" spans="1:8" ht="27">
      <c r="A21" s="12" t="s">
        <v>77</v>
      </c>
      <c r="B21" s="12" t="s">
        <v>1</v>
      </c>
      <c r="C21" s="12" t="s">
        <v>1</v>
      </c>
      <c r="D21" s="12" t="s">
        <v>1</v>
      </c>
      <c r="E21" s="12" t="s">
        <v>1</v>
      </c>
      <c r="F21" s="12" t="s">
        <v>1</v>
      </c>
      <c r="G21" s="12" t="s">
        <v>1</v>
      </c>
      <c r="H21" s="13">
        <f>SUM(G13:G17)</f>
        <v>15000</v>
      </c>
    </row>
    <row r="22" spans="1:8" ht="27">
      <c r="A22" s="12" t="s">
        <v>78</v>
      </c>
      <c r="B22" s="12" t="s">
        <v>1</v>
      </c>
      <c r="C22" s="12" t="s">
        <v>1</v>
      </c>
      <c r="D22" s="12" t="s">
        <v>1</v>
      </c>
      <c r="E22" s="12" t="s">
        <v>1</v>
      </c>
      <c r="F22" s="12" t="s">
        <v>1</v>
      </c>
      <c r="G22" s="12" t="s">
        <v>1</v>
      </c>
      <c r="H22" s="13">
        <f>IF(H21=0,0,H20/H21)</f>
        <v>0.53700000000000003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opLeftCell="A2" workbookViewId="0">
      <selection activeCell="H13" sqref="H13:H14"/>
    </sheetView>
  </sheetViews>
  <sheetFormatPr defaultColWidth="9" defaultRowHeight="13.5"/>
  <cols>
    <col min="1" max="1" width="12" customWidth="1"/>
    <col min="2" max="2" width="20" customWidth="1"/>
    <col min="3" max="3" width="44" customWidth="1"/>
    <col min="4" max="4" width="14" customWidth="1"/>
    <col min="5" max="6" width="16" customWidth="1"/>
    <col min="7" max="7" width="14" customWidth="1"/>
    <col min="8" max="8" width="16" customWidth="1"/>
  </cols>
  <sheetData>
    <row r="1" spans="1:8" ht="27.95" customHeight="1">
      <c r="A1" s="1" t="s">
        <v>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ht="67.5">
      <c r="A2" s="2" t="s">
        <v>36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 ht="24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ht="54">
      <c r="A4" s="2" t="s">
        <v>41</v>
      </c>
      <c r="B4" s="9" t="s">
        <v>42</v>
      </c>
      <c r="C4" s="2" t="s">
        <v>43</v>
      </c>
      <c r="D4" s="2" t="s">
        <v>42</v>
      </c>
      <c r="E4" s="2" t="s">
        <v>1</v>
      </c>
      <c r="F4" s="2" t="s">
        <v>1</v>
      </c>
      <c r="G4" s="2" t="s">
        <v>1</v>
      </c>
      <c r="H4" s="2" t="s">
        <v>1</v>
      </c>
    </row>
    <row r="5" spans="1:8">
      <c r="A5" s="2" t="s">
        <v>80</v>
      </c>
      <c r="B5" s="9" t="s">
        <v>45</v>
      </c>
      <c r="C5" s="2" t="s">
        <v>81</v>
      </c>
      <c r="D5" s="2" t="s">
        <v>45</v>
      </c>
      <c r="E5" s="2" t="s">
        <v>1</v>
      </c>
      <c r="F5" s="2" t="s">
        <v>1</v>
      </c>
      <c r="G5" s="2" t="s">
        <v>1</v>
      </c>
      <c r="H5" s="2" t="s">
        <v>1</v>
      </c>
    </row>
    <row r="6" spans="1:8" ht="27">
      <c r="A6" s="2" t="s">
        <v>47</v>
      </c>
      <c r="B6" s="9" t="s">
        <v>48</v>
      </c>
      <c r="C6" s="2" t="s">
        <v>49</v>
      </c>
      <c r="D6" s="2" t="s">
        <v>48</v>
      </c>
      <c r="E6" s="2" t="s">
        <v>1</v>
      </c>
      <c r="F6" s="2" t="s">
        <v>1</v>
      </c>
      <c r="G6" s="2" t="s">
        <v>1</v>
      </c>
      <c r="H6" s="2" t="s">
        <v>1</v>
      </c>
    </row>
    <row r="7" spans="1:8">
      <c r="A7" s="2" t="s">
        <v>50</v>
      </c>
      <c r="B7" s="9" t="s">
        <v>51</v>
      </c>
      <c r="C7" s="2" t="s">
        <v>52</v>
      </c>
      <c r="D7" s="2" t="s">
        <v>51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 ht="27">
      <c r="A8" s="2" t="s">
        <v>53</v>
      </c>
      <c r="B8" s="9" t="s">
        <v>54</v>
      </c>
      <c r="C8" s="2" t="s">
        <v>55</v>
      </c>
      <c r="D8" s="2" t="s">
        <v>56</v>
      </c>
      <c r="E8" s="2" t="s">
        <v>1</v>
      </c>
      <c r="F8" s="2" t="s">
        <v>1</v>
      </c>
      <c r="G8" s="2" t="s">
        <v>1</v>
      </c>
      <c r="H8" s="2" t="s">
        <v>1</v>
      </c>
    </row>
    <row r="9" spans="1:8">
      <c r="A9" s="2" t="s">
        <v>57</v>
      </c>
      <c r="B9" s="9">
        <v>15000</v>
      </c>
      <c r="C9" s="2" t="s">
        <v>58</v>
      </c>
      <c r="D9" s="2">
        <v>5000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>
      <c r="A10" s="2" t="s">
        <v>1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</row>
    <row r="11" spans="1:8" ht="108">
      <c r="A11" s="2" t="s">
        <v>59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</row>
    <row r="12" spans="1:8" ht="27">
      <c r="A12" s="23" t="s">
        <v>60</v>
      </c>
      <c r="B12" s="23" t="s">
        <v>61</v>
      </c>
      <c r="C12" s="23" t="s">
        <v>62</v>
      </c>
      <c r="D12" s="23" t="s">
        <v>63</v>
      </c>
      <c r="E12" s="23" t="s">
        <v>64</v>
      </c>
      <c r="F12" s="23" t="s">
        <v>65</v>
      </c>
      <c r="G12" s="23" t="s">
        <v>66</v>
      </c>
      <c r="H12" s="23" t="s">
        <v>67</v>
      </c>
    </row>
    <row r="13" spans="1:8" ht="47.25">
      <c r="A13" s="2">
        <v>1</v>
      </c>
      <c r="B13" s="17" t="s">
        <v>68</v>
      </c>
      <c r="C13" s="18" t="s">
        <v>69</v>
      </c>
      <c r="D13" s="24" t="s">
        <v>70</v>
      </c>
      <c r="E13" s="20" t="s">
        <v>71</v>
      </c>
      <c r="F13" s="21">
        <v>0.53700000000000003</v>
      </c>
      <c r="G13" s="21">
        <v>10000</v>
      </c>
      <c r="H13" s="22">
        <f>F13*G13</f>
        <v>5370</v>
      </c>
    </row>
    <row r="14" spans="1:8" ht="31.5">
      <c r="A14" s="2">
        <v>2</v>
      </c>
      <c r="B14" s="17" t="s">
        <v>72</v>
      </c>
      <c r="C14" s="18" t="s">
        <v>73</v>
      </c>
      <c r="D14" s="24" t="s">
        <v>74</v>
      </c>
      <c r="E14" s="20" t="s">
        <v>71</v>
      </c>
      <c r="F14" s="21">
        <v>0.53700000000000003</v>
      </c>
      <c r="G14" s="21">
        <v>5000</v>
      </c>
      <c r="H14" s="22">
        <f>F14*G14</f>
        <v>2685</v>
      </c>
    </row>
    <row r="15" spans="1:8">
      <c r="A15" s="2">
        <v>3</v>
      </c>
      <c r="B15" s="2" t="s">
        <v>1</v>
      </c>
      <c r="C15" s="2" t="s">
        <v>1</v>
      </c>
      <c r="D15" s="2" t="s">
        <v>1</v>
      </c>
      <c r="E15" s="2" t="s">
        <v>1</v>
      </c>
      <c r="F15" s="7" t="s">
        <v>1</v>
      </c>
      <c r="G15" s="25" t="s">
        <v>1</v>
      </c>
      <c r="H15" s="7" t="s">
        <v>1</v>
      </c>
    </row>
    <row r="16" spans="1:8">
      <c r="A16" s="2">
        <v>4</v>
      </c>
      <c r="B16" s="2" t="s">
        <v>1</v>
      </c>
      <c r="C16" s="2" t="s">
        <v>1</v>
      </c>
      <c r="D16" s="2" t="s">
        <v>1</v>
      </c>
      <c r="E16" s="2" t="s">
        <v>1</v>
      </c>
      <c r="F16" s="7" t="s">
        <v>1</v>
      </c>
      <c r="G16" s="25" t="s">
        <v>1</v>
      </c>
      <c r="H16" s="7" t="s">
        <v>1</v>
      </c>
    </row>
    <row r="17" spans="1:8">
      <c r="A17" s="2">
        <v>5</v>
      </c>
      <c r="B17" s="2" t="s">
        <v>1</v>
      </c>
      <c r="C17" s="2" t="s">
        <v>1</v>
      </c>
      <c r="D17" s="2" t="s">
        <v>1</v>
      </c>
      <c r="E17" s="2" t="s">
        <v>1</v>
      </c>
      <c r="F17" s="7" t="s">
        <v>1</v>
      </c>
      <c r="G17" s="25" t="s">
        <v>1</v>
      </c>
      <c r="H17" s="7" t="s">
        <v>1</v>
      </c>
    </row>
    <row r="18" spans="1:8">
      <c r="A18" s="2" t="s">
        <v>1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</row>
    <row r="19" spans="1:8" ht="27">
      <c r="A19" s="2" t="s">
        <v>75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</row>
    <row r="20" spans="1:8" ht="27">
      <c r="A20" s="12" t="s">
        <v>76</v>
      </c>
      <c r="B20" s="12" t="s">
        <v>1</v>
      </c>
      <c r="C20" s="12" t="s">
        <v>1</v>
      </c>
      <c r="D20" s="12" t="s">
        <v>1</v>
      </c>
      <c r="E20" s="12" t="s">
        <v>1</v>
      </c>
      <c r="F20" s="12" t="s">
        <v>1</v>
      </c>
      <c r="G20" s="12" t="s">
        <v>1</v>
      </c>
      <c r="H20" s="12">
        <f>SUM(H13:H17)</f>
        <v>8055</v>
      </c>
    </row>
    <row r="21" spans="1:8" ht="27">
      <c r="A21" s="12" t="s">
        <v>77</v>
      </c>
      <c r="B21" s="12" t="s">
        <v>1</v>
      </c>
      <c r="C21" s="12" t="s">
        <v>1</v>
      </c>
      <c r="D21" s="12" t="s">
        <v>1</v>
      </c>
      <c r="E21" s="12" t="s">
        <v>1</v>
      </c>
      <c r="F21" s="12" t="s">
        <v>1</v>
      </c>
      <c r="G21" s="12" t="s">
        <v>1</v>
      </c>
      <c r="H21" s="12">
        <f>SUM(G13:G17)</f>
        <v>15000</v>
      </c>
    </row>
    <row r="22" spans="1:8" ht="27">
      <c r="A22" s="12" t="s">
        <v>78</v>
      </c>
      <c r="B22" s="12" t="s">
        <v>1</v>
      </c>
      <c r="C22" s="12" t="s">
        <v>1</v>
      </c>
      <c r="D22" s="12" t="s">
        <v>1</v>
      </c>
      <c r="E22" s="12" t="s">
        <v>1</v>
      </c>
      <c r="F22" s="12" t="s">
        <v>1</v>
      </c>
      <c r="G22" s="12" t="s">
        <v>1</v>
      </c>
      <c r="H22" s="12">
        <f>IF(H21=0,0,H20/H21)</f>
        <v>0.53700000000000003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topLeftCell="A3" workbookViewId="0">
      <selection activeCell="E11" sqref="E11"/>
    </sheetView>
  </sheetViews>
  <sheetFormatPr defaultColWidth="9" defaultRowHeight="13.5"/>
  <cols>
    <col min="1" max="1" width="12" customWidth="1"/>
    <col min="2" max="2" width="20" customWidth="1"/>
    <col min="3" max="3" width="44" customWidth="1"/>
    <col min="4" max="4" width="14" customWidth="1"/>
    <col min="5" max="5" width="16" customWidth="1"/>
    <col min="6" max="6" width="14" customWidth="1"/>
    <col min="7" max="9" width="12" customWidth="1"/>
  </cols>
  <sheetData>
    <row r="1" spans="1:9" ht="27.95" customHeight="1">
      <c r="A1" s="1" t="s">
        <v>82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ht="67.5">
      <c r="A2" s="2" t="s">
        <v>36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 ht="24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</row>
    <row r="4" spans="1:9" ht="54">
      <c r="A4" s="2" t="s">
        <v>41</v>
      </c>
      <c r="B4" s="9" t="s">
        <v>42</v>
      </c>
      <c r="C4" s="2" t="s">
        <v>43</v>
      </c>
      <c r="D4" s="2" t="s">
        <v>42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</row>
    <row r="5" spans="1:9" ht="27">
      <c r="A5" s="2" t="s">
        <v>83</v>
      </c>
      <c r="B5" s="9" t="s">
        <v>84</v>
      </c>
      <c r="C5" s="2" t="s">
        <v>85</v>
      </c>
      <c r="D5" s="2" t="s">
        <v>84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</row>
    <row r="6" spans="1:9">
      <c r="A6" s="2" t="s">
        <v>86</v>
      </c>
      <c r="B6" s="9" t="s">
        <v>48</v>
      </c>
      <c r="C6" s="2" t="s">
        <v>87</v>
      </c>
      <c r="D6" s="2" t="s">
        <v>48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</row>
    <row r="7" spans="1:9" ht="27">
      <c r="A7" s="2" t="s">
        <v>88</v>
      </c>
      <c r="B7" s="9">
        <v>15</v>
      </c>
      <c r="C7" s="2" t="s">
        <v>89</v>
      </c>
      <c r="D7" s="2">
        <v>15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</row>
    <row r="8" spans="1:9">
      <c r="A8" s="2" t="s">
        <v>90</v>
      </c>
      <c r="B8" s="9">
        <v>420</v>
      </c>
      <c r="C8" s="2" t="s">
        <v>91</v>
      </c>
      <c r="D8" s="2">
        <v>420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</row>
    <row r="9" spans="1:9">
      <c r="A9" s="2" t="s">
        <v>92</v>
      </c>
      <c r="B9" s="9">
        <v>0.69</v>
      </c>
      <c r="C9" s="2" t="s">
        <v>93</v>
      </c>
      <c r="D9" s="2">
        <v>0.69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  <row r="10" spans="1:9">
      <c r="A10" s="2" t="s">
        <v>57</v>
      </c>
      <c r="B10" s="9">
        <v>15000</v>
      </c>
      <c r="C10" s="2" t="s">
        <v>58</v>
      </c>
      <c r="D10" s="2">
        <v>15000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</row>
    <row r="11" spans="1:9">
      <c r="A11" s="2" t="s">
        <v>1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</row>
    <row r="12" spans="1:9" ht="108">
      <c r="A12" s="2" t="s">
        <v>59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</row>
    <row r="13" spans="1:9">
      <c r="A13" s="16" t="s">
        <v>60</v>
      </c>
      <c r="B13" s="16" t="s">
        <v>61</v>
      </c>
      <c r="C13" s="16" t="s">
        <v>62</v>
      </c>
      <c r="D13" s="16" t="s">
        <v>63</v>
      </c>
      <c r="E13" s="16" t="s">
        <v>64</v>
      </c>
      <c r="F13" s="16" t="s">
        <v>66</v>
      </c>
      <c r="G13" s="16" t="s">
        <v>94</v>
      </c>
      <c r="H13" s="16" t="s">
        <v>95</v>
      </c>
      <c r="I13" s="16" t="s">
        <v>96</v>
      </c>
    </row>
    <row r="14" spans="1:9" ht="47.25">
      <c r="A14" s="2">
        <v>1</v>
      </c>
      <c r="B14" s="17" t="s">
        <v>68</v>
      </c>
      <c r="C14" s="18" t="s">
        <v>69</v>
      </c>
      <c r="D14" s="19" t="s">
        <v>70</v>
      </c>
      <c r="E14" s="20" t="s">
        <v>71</v>
      </c>
      <c r="F14" s="21">
        <v>10000</v>
      </c>
      <c r="G14" s="22">
        <v>10</v>
      </c>
      <c r="H14" s="22">
        <v>280</v>
      </c>
      <c r="I14" s="21">
        <v>0.46</v>
      </c>
    </row>
    <row r="15" spans="1:9" ht="31.5">
      <c r="A15" s="2">
        <v>2</v>
      </c>
      <c r="B15" s="17" t="s">
        <v>72</v>
      </c>
      <c r="C15" s="18" t="s">
        <v>73</v>
      </c>
      <c r="D15" s="19" t="s">
        <v>74</v>
      </c>
      <c r="E15" s="20" t="s">
        <v>71</v>
      </c>
      <c r="F15" s="21">
        <v>5000</v>
      </c>
      <c r="G15" s="22">
        <v>5</v>
      </c>
      <c r="H15" s="22">
        <v>140</v>
      </c>
      <c r="I15" s="21">
        <v>0.23</v>
      </c>
    </row>
    <row r="16" spans="1:9">
      <c r="A16" s="2">
        <v>3</v>
      </c>
      <c r="B16" s="2" t="s">
        <v>1</v>
      </c>
      <c r="C16" s="2" t="s">
        <v>1</v>
      </c>
      <c r="D16" s="2" t="s">
        <v>1</v>
      </c>
      <c r="E16" s="2" t="s">
        <v>1</v>
      </c>
      <c r="F16" s="7" t="s">
        <v>1</v>
      </c>
      <c r="G16" s="7" t="s">
        <v>1</v>
      </c>
      <c r="H16" s="7" t="s">
        <v>1</v>
      </c>
      <c r="I16" s="7" t="s">
        <v>1</v>
      </c>
    </row>
    <row r="17" spans="1:9">
      <c r="A17" s="2" t="s">
        <v>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</row>
    <row r="18" spans="1:9" ht="27">
      <c r="A18" s="2" t="s">
        <v>75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</row>
    <row r="19" spans="1:9" ht="27">
      <c r="A19" s="12" t="s">
        <v>77</v>
      </c>
      <c r="B19" s="12" t="s">
        <v>1</v>
      </c>
      <c r="C19" s="12" t="s">
        <v>1</v>
      </c>
      <c r="D19" s="12" t="s">
        <v>1</v>
      </c>
      <c r="E19" s="12" t="s">
        <v>1</v>
      </c>
      <c r="F19" s="12" t="s">
        <v>1</v>
      </c>
      <c r="G19" s="12" t="s">
        <v>1</v>
      </c>
      <c r="H19" s="12" t="s">
        <v>1</v>
      </c>
      <c r="I19" s="12">
        <f>SUM(F14:F16)</f>
        <v>15000</v>
      </c>
    </row>
    <row r="20" spans="1:9" ht="27">
      <c r="A20" s="12" t="s">
        <v>88</v>
      </c>
      <c r="B20" s="12" t="s">
        <v>1</v>
      </c>
      <c r="C20" s="12" t="s">
        <v>1</v>
      </c>
      <c r="D20" s="12" t="s">
        <v>1</v>
      </c>
      <c r="E20" s="12" t="s">
        <v>1</v>
      </c>
      <c r="F20" s="12" t="s">
        <v>1</v>
      </c>
      <c r="G20" s="12" t="s">
        <v>1</v>
      </c>
      <c r="H20" s="12" t="s">
        <v>1</v>
      </c>
      <c r="I20" s="12">
        <f>SUM(G14:G16)</f>
        <v>15</v>
      </c>
    </row>
    <row r="21" spans="1:9">
      <c r="A21" s="12" t="s">
        <v>90</v>
      </c>
      <c r="B21" s="12" t="s">
        <v>1</v>
      </c>
      <c r="C21" s="12" t="s">
        <v>1</v>
      </c>
      <c r="D21" s="12" t="s">
        <v>1</v>
      </c>
      <c r="E21" s="12" t="s">
        <v>1</v>
      </c>
      <c r="F21" s="12" t="s">
        <v>1</v>
      </c>
      <c r="G21" s="12" t="s">
        <v>1</v>
      </c>
      <c r="H21" s="12" t="s">
        <v>1</v>
      </c>
      <c r="I21" s="12">
        <f>SUM(H14:H16)</f>
        <v>420</v>
      </c>
    </row>
    <row r="22" spans="1:9">
      <c r="A22" s="12" t="s">
        <v>92</v>
      </c>
      <c r="B22" s="12" t="s">
        <v>1</v>
      </c>
      <c r="C22" s="12" t="s">
        <v>1</v>
      </c>
      <c r="D22" s="12" t="s">
        <v>1</v>
      </c>
      <c r="E22" s="12" t="s">
        <v>1</v>
      </c>
      <c r="F22" s="12" t="s">
        <v>1</v>
      </c>
      <c r="G22" s="12" t="s">
        <v>1</v>
      </c>
      <c r="H22" s="12" t="s">
        <v>1</v>
      </c>
      <c r="I22" s="12">
        <f>SUM(I14:I16)</f>
        <v>0.69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C9" sqref="C9"/>
    </sheetView>
  </sheetViews>
  <sheetFormatPr defaultColWidth="9" defaultRowHeight="13.5"/>
  <cols>
    <col min="1" max="1" width="8" customWidth="1"/>
    <col min="2" max="2" width="22" customWidth="1"/>
    <col min="3" max="3" width="14" customWidth="1"/>
    <col min="4" max="4" width="18" customWidth="1"/>
    <col min="5" max="5" width="12" customWidth="1"/>
    <col min="6" max="6" width="16" customWidth="1"/>
    <col min="7" max="7" width="14" customWidth="1"/>
    <col min="8" max="8" width="30" customWidth="1"/>
  </cols>
  <sheetData>
    <row r="1" spans="1:8" ht="27.95" customHeight="1">
      <c r="A1" s="1" t="s">
        <v>97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ht="94.5">
      <c r="A2" s="2" t="s">
        <v>36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 ht="24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ht="40.5">
      <c r="A4" s="2" t="s">
        <v>41</v>
      </c>
      <c r="B4" s="9" t="s">
        <v>42</v>
      </c>
      <c r="C4" s="2" t="s">
        <v>43</v>
      </c>
      <c r="D4" s="2" t="s">
        <v>42</v>
      </c>
      <c r="E4" s="2" t="s">
        <v>1</v>
      </c>
      <c r="F4" s="2" t="s">
        <v>1</v>
      </c>
      <c r="G4" s="2" t="s">
        <v>1</v>
      </c>
      <c r="H4" s="2" t="s">
        <v>1</v>
      </c>
    </row>
    <row r="5" spans="1:8" ht="27">
      <c r="A5" s="2" t="s">
        <v>98</v>
      </c>
      <c r="B5" s="9" t="s">
        <v>45</v>
      </c>
      <c r="C5" s="2" t="s">
        <v>99</v>
      </c>
      <c r="D5" s="2" t="s">
        <v>45</v>
      </c>
      <c r="E5" s="2" t="s">
        <v>1</v>
      </c>
      <c r="F5" s="2" t="s">
        <v>1</v>
      </c>
      <c r="G5" s="2" t="s">
        <v>1</v>
      </c>
      <c r="H5" s="2" t="s">
        <v>1</v>
      </c>
    </row>
    <row r="6" spans="1:8" ht="27">
      <c r="A6" s="2" t="s">
        <v>50</v>
      </c>
      <c r="B6" s="9" t="s">
        <v>51</v>
      </c>
      <c r="C6" s="2" t="s">
        <v>52</v>
      </c>
      <c r="D6" s="2" t="s">
        <v>51</v>
      </c>
      <c r="E6" s="2" t="s">
        <v>1</v>
      </c>
      <c r="F6" s="2" t="s">
        <v>1</v>
      </c>
      <c r="G6" s="2" t="s">
        <v>1</v>
      </c>
      <c r="H6" s="2" t="s">
        <v>1</v>
      </c>
    </row>
    <row r="7" spans="1:8" ht="27">
      <c r="A7" s="2" t="s">
        <v>100</v>
      </c>
      <c r="B7" s="9">
        <v>8055</v>
      </c>
      <c r="C7" s="2" t="s">
        <v>101</v>
      </c>
      <c r="D7" s="2">
        <v>8055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>
      <c r="A8" s="2" t="s">
        <v>1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</row>
    <row r="9" spans="1:8" ht="148.5">
      <c r="A9" s="2" t="s">
        <v>102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>
      <c r="A10" s="10" t="s">
        <v>103</v>
      </c>
      <c r="B10" s="10" t="s">
        <v>104</v>
      </c>
      <c r="C10" s="10" t="s">
        <v>105</v>
      </c>
      <c r="D10" s="10" t="s">
        <v>106</v>
      </c>
      <c r="E10" s="10" t="s">
        <v>50</v>
      </c>
      <c r="F10" s="10" t="s">
        <v>107</v>
      </c>
      <c r="G10" s="10" t="s">
        <v>108</v>
      </c>
      <c r="H10" s="10" t="s">
        <v>109</v>
      </c>
    </row>
    <row r="11" spans="1:8">
      <c r="A11" s="2">
        <v>1</v>
      </c>
      <c r="B11" s="2" t="s">
        <v>110</v>
      </c>
      <c r="C11" s="7">
        <v>30</v>
      </c>
      <c r="D11" s="7">
        <f>D7*C11/100</f>
        <v>2416.5</v>
      </c>
      <c r="E11" s="2" t="s">
        <v>51</v>
      </c>
      <c r="F11" s="11" t="s">
        <v>48</v>
      </c>
      <c r="G11" s="2" t="s">
        <v>111</v>
      </c>
      <c r="H11" s="2" t="s">
        <v>112</v>
      </c>
    </row>
    <row r="12" spans="1:8">
      <c r="A12" s="2">
        <v>2</v>
      </c>
      <c r="B12" s="2" t="s">
        <v>113</v>
      </c>
      <c r="C12" s="7">
        <v>40</v>
      </c>
      <c r="D12" s="7">
        <f>D7*C12/100</f>
        <v>3222</v>
      </c>
      <c r="E12" s="2" t="s">
        <v>51</v>
      </c>
      <c r="F12" s="11" t="s">
        <v>114</v>
      </c>
      <c r="G12" s="2" t="s">
        <v>111</v>
      </c>
      <c r="H12" s="2" t="s">
        <v>115</v>
      </c>
    </row>
    <row r="13" spans="1:8">
      <c r="A13" s="2">
        <v>3</v>
      </c>
      <c r="B13" s="2" t="s">
        <v>116</v>
      </c>
      <c r="C13" s="7">
        <v>30</v>
      </c>
      <c r="D13" s="7">
        <f>D7*C13/100</f>
        <v>2416.5</v>
      </c>
      <c r="E13" s="2" t="s">
        <v>51</v>
      </c>
      <c r="F13" s="11" t="s">
        <v>117</v>
      </c>
      <c r="G13" s="2" t="s">
        <v>111</v>
      </c>
      <c r="H13" s="2" t="s">
        <v>118</v>
      </c>
    </row>
    <row r="14" spans="1:8">
      <c r="A14" s="2" t="s">
        <v>1</v>
      </c>
      <c r="B14" s="2" t="s">
        <v>1</v>
      </c>
      <c r="C14" s="7" t="s">
        <v>1</v>
      </c>
      <c r="D14" s="7" t="s">
        <v>1</v>
      </c>
      <c r="E14" s="2" t="s">
        <v>1</v>
      </c>
      <c r="F14" s="11" t="s">
        <v>1</v>
      </c>
      <c r="G14" s="2" t="s">
        <v>1</v>
      </c>
      <c r="H14" s="2" t="s">
        <v>1</v>
      </c>
    </row>
    <row r="15" spans="1:8" ht="27">
      <c r="A15" s="2" t="s">
        <v>75</v>
      </c>
      <c r="B15" s="2" t="s">
        <v>1</v>
      </c>
      <c r="C15" s="7" t="s">
        <v>1</v>
      </c>
      <c r="D15" s="7" t="s">
        <v>1</v>
      </c>
      <c r="E15" s="2" t="s">
        <v>1</v>
      </c>
      <c r="F15" s="11" t="s">
        <v>1</v>
      </c>
      <c r="G15" s="2" t="s">
        <v>1</v>
      </c>
      <c r="H15" s="2" t="s">
        <v>1</v>
      </c>
    </row>
    <row r="16" spans="1:8" ht="27">
      <c r="A16" s="12" t="s">
        <v>119</v>
      </c>
      <c r="B16" s="12" t="s">
        <v>1</v>
      </c>
      <c r="C16" s="13" t="s">
        <v>1</v>
      </c>
      <c r="D16" s="13">
        <f>SUM(D11:D13)</f>
        <v>8055</v>
      </c>
      <c r="E16" s="12" t="s">
        <v>1</v>
      </c>
      <c r="F16" s="14" t="s">
        <v>1</v>
      </c>
      <c r="G16" s="12" t="s">
        <v>1</v>
      </c>
      <c r="H16" s="12" t="s">
        <v>1</v>
      </c>
    </row>
    <row r="17" spans="1:8" ht="27">
      <c r="A17" s="12" t="s">
        <v>120</v>
      </c>
      <c r="B17" s="12" t="s">
        <v>1</v>
      </c>
      <c r="C17" s="13" t="s">
        <v>1</v>
      </c>
      <c r="D17" s="13">
        <f>D7-D16</f>
        <v>0</v>
      </c>
      <c r="E17" s="12" t="s">
        <v>1</v>
      </c>
      <c r="F17" s="14" t="s">
        <v>1</v>
      </c>
      <c r="G17" s="12" t="s">
        <v>1</v>
      </c>
      <c r="H17" s="12" t="s">
        <v>1</v>
      </c>
    </row>
    <row r="18" spans="1:8">
      <c r="C18" s="8"/>
      <c r="D18" s="8"/>
      <c r="F18" s="15"/>
    </row>
    <row r="19" spans="1:8">
      <c r="C19" s="8"/>
      <c r="D19" s="8"/>
      <c r="F19" s="15"/>
    </row>
    <row r="20" spans="1:8">
      <c r="C20" s="8"/>
      <c r="D20" s="8"/>
      <c r="F20" s="15"/>
    </row>
    <row r="21" spans="1:8">
      <c r="C21" s="8"/>
      <c r="D21" s="8"/>
      <c r="F21" s="15"/>
    </row>
    <row r="22" spans="1:8">
      <c r="C22" s="8"/>
      <c r="D22" s="8"/>
      <c r="F22" s="15"/>
    </row>
    <row r="23" spans="1:8">
      <c r="C23" s="8"/>
      <c r="D23" s="8"/>
      <c r="F23" s="15"/>
    </row>
    <row r="24" spans="1:8">
      <c r="C24" s="8"/>
      <c r="D24" s="8"/>
      <c r="F24" s="15"/>
    </row>
    <row r="25" spans="1:8">
      <c r="C25" s="8"/>
      <c r="D25" s="8"/>
      <c r="F25" s="15"/>
    </row>
    <row r="26" spans="1:8">
      <c r="C26" s="8"/>
      <c r="D26" s="8"/>
      <c r="F26" s="15"/>
    </row>
    <row r="27" spans="1:8">
      <c r="C27" s="8"/>
      <c r="D27" s="8"/>
      <c r="F27" s="15"/>
    </row>
    <row r="28" spans="1:8">
      <c r="C28" s="8"/>
      <c r="D28" s="8"/>
      <c r="F28" s="15"/>
    </row>
    <row r="29" spans="1:8">
      <c r="C29" s="8"/>
      <c r="D29" s="8"/>
      <c r="F29" s="15"/>
    </row>
    <row r="30" spans="1:8">
      <c r="C30" s="8"/>
      <c r="D30" s="8"/>
      <c r="F30" s="15"/>
    </row>
    <row r="31" spans="1:8">
      <c r="C31" s="8"/>
      <c r="D31" s="8"/>
      <c r="F31" s="15"/>
    </row>
    <row r="32" spans="1:8">
      <c r="C32" s="8"/>
      <c r="D32" s="8"/>
      <c r="F32" s="15"/>
    </row>
    <row r="33" spans="3:6">
      <c r="C33" s="8"/>
      <c r="D33" s="8"/>
      <c r="F33" s="15"/>
    </row>
    <row r="34" spans="3:6">
      <c r="C34" s="8"/>
      <c r="D34" s="8"/>
      <c r="F34" s="15"/>
    </row>
    <row r="35" spans="3:6">
      <c r="C35" s="8"/>
      <c r="D35" s="8"/>
      <c r="F35" s="15"/>
    </row>
    <row r="36" spans="3:6">
      <c r="C36" s="8"/>
      <c r="D36" s="8"/>
      <c r="F36" s="15"/>
    </row>
    <row r="37" spans="3:6">
      <c r="C37" s="8"/>
      <c r="D37" s="8"/>
      <c r="F37" s="15"/>
    </row>
    <row r="38" spans="3:6">
      <c r="C38" s="8"/>
      <c r="D38" s="8"/>
      <c r="F38" s="15"/>
    </row>
    <row r="39" spans="3:6">
      <c r="C39" s="8"/>
      <c r="D39" s="8"/>
      <c r="F39" s="15"/>
    </row>
    <row r="40" spans="3:6">
      <c r="C40" s="8"/>
      <c r="D40" s="8"/>
      <c r="F40" s="15"/>
    </row>
    <row r="41" spans="3:6">
      <c r="C41" s="8"/>
      <c r="D41" s="8"/>
      <c r="F41" s="15"/>
    </row>
    <row r="42" spans="3:6">
      <c r="C42" s="8"/>
      <c r="D42" s="8"/>
      <c r="F42" s="15"/>
    </row>
    <row r="43" spans="3:6">
      <c r="C43" s="8"/>
      <c r="D43" s="8"/>
      <c r="F43" s="15"/>
    </row>
    <row r="44" spans="3:6">
      <c r="C44" s="8"/>
      <c r="D44" s="8"/>
      <c r="F44" s="15"/>
    </row>
    <row r="45" spans="3:6">
      <c r="C45" s="8"/>
      <c r="D45" s="8"/>
      <c r="F45" s="15"/>
    </row>
    <row r="46" spans="3:6">
      <c r="C46" s="8"/>
      <c r="D46" s="8"/>
      <c r="F46" s="15"/>
    </row>
    <row r="47" spans="3:6">
      <c r="C47" s="8"/>
      <c r="D47" s="8"/>
      <c r="F47" s="15"/>
    </row>
    <row r="48" spans="3:6">
      <c r="C48" s="8"/>
      <c r="D48" s="8"/>
      <c r="F48" s="15"/>
    </row>
    <row r="49" spans="3:6">
      <c r="C49" s="8"/>
      <c r="D49" s="8"/>
      <c r="F49" s="15"/>
    </row>
    <row r="50" spans="3:6">
      <c r="C50" s="8"/>
      <c r="D50" s="8"/>
      <c r="F50" s="15"/>
    </row>
  </sheetData>
  <dataValidations count="3">
    <dataValidation type="list" sqref="B11:B50" xr:uid="{00000000-0002-0000-0400-000000000000}">
      <formula1>"PREPAID,BEFORE_SHIPMENT,AFTER_ARRIVAL,OPEN_ACCOUNT,OTHER"</formula1>
    </dataValidation>
    <dataValidation type="list" sqref="E11:E50" xr:uid="{00000000-0002-0000-0400-000001000000}">
      <formula1>"USD,EUR,CNY,TRY"</formula1>
    </dataValidation>
    <dataValidation type="list" sqref="G11:G50" xr:uid="{00000000-0002-0000-0400-000002000000}">
      <formula1>"UNPAID,PARTIAL,PAID"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>
      <selection activeCell="D10" sqref="D10"/>
    </sheetView>
  </sheetViews>
  <sheetFormatPr defaultColWidth="9" defaultRowHeight="13.5"/>
  <cols>
    <col min="1" max="1" width="16" customWidth="1"/>
    <col min="2" max="2" width="28" customWidth="1"/>
    <col min="3" max="3" width="16" customWidth="1"/>
    <col min="4" max="4" width="12" customWidth="1"/>
    <col min="5" max="5" width="16" customWidth="1"/>
    <col min="6" max="6" width="18" customWidth="1"/>
    <col min="7" max="7" width="22" customWidth="1"/>
    <col min="8" max="8" width="30" customWidth="1"/>
  </cols>
  <sheetData>
    <row r="1" spans="1:8" ht="27.95" customHeight="1">
      <c r="A1" s="1" t="s">
        <v>121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ht="121.5">
      <c r="A2" s="2" t="s">
        <v>122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 ht="24" customHeight="1">
      <c r="A3" s="6" t="s">
        <v>123</v>
      </c>
      <c r="B3" s="6" t="s">
        <v>124</v>
      </c>
      <c r="C3" s="6" t="s">
        <v>125</v>
      </c>
      <c r="D3" s="6" t="s">
        <v>50</v>
      </c>
      <c r="E3" s="6" t="s">
        <v>126</v>
      </c>
      <c r="F3" s="6" t="s">
        <v>44</v>
      </c>
      <c r="G3" s="6" t="s">
        <v>127</v>
      </c>
      <c r="H3" s="6" t="s">
        <v>109</v>
      </c>
    </row>
    <row r="4" spans="1:8">
      <c r="A4" s="2" t="s">
        <v>128</v>
      </c>
      <c r="B4" s="2" t="s">
        <v>129</v>
      </c>
      <c r="C4" s="7">
        <v>7879.2</v>
      </c>
      <c r="D4" s="2" t="s">
        <v>51</v>
      </c>
      <c r="E4" s="2" t="s">
        <v>130</v>
      </c>
      <c r="F4" s="2" t="s">
        <v>131</v>
      </c>
      <c r="G4" s="2" t="s">
        <v>132</v>
      </c>
      <c r="H4" s="2" t="s">
        <v>1</v>
      </c>
    </row>
    <row r="5" spans="1:8">
      <c r="A5" s="2" t="s">
        <v>133</v>
      </c>
      <c r="B5" s="2" t="s">
        <v>134</v>
      </c>
      <c r="C5" s="7">
        <v>10000</v>
      </c>
      <c r="D5" s="2" t="s">
        <v>51</v>
      </c>
      <c r="E5" s="2" t="s">
        <v>130</v>
      </c>
      <c r="F5" s="2" t="s">
        <v>1</v>
      </c>
      <c r="G5" s="2" t="s">
        <v>1</v>
      </c>
      <c r="H5" s="2" t="s">
        <v>1</v>
      </c>
    </row>
    <row r="6" spans="1:8">
      <c r="A6" s="2" t="s">
        <v>135</v>
      </c>
      <c r="B6" s="2" t="s">
        <v>136</v>
      </c>
      <c r="C6" s="7">
        <v>12000</v>
      </c>
      <c r="D6" s="2" t="s">
        <v>137</v>
      </c>
      <c r="E6" s="2" t="s">
        <v>130</v>
      </c>
      <c r="F6" s="2" t="s">
        <v>1</v>
      </c>
      <c r="G6" s="2" t="s">
        <v>1</v>
      </c>
      <c r="H6" s="2" t="s">
        <v>1</v>
      </c>
    </row>
    <row r="7" spans="1:8">
      <c r="A7" s="2" t="s">
        <v>1</v>
      </c>
      <c r="B7" s="2" t="s">
        <v>1</v>
      </c>
      <c r="C7" s="7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>
      <c r="C8" s="8"/>
    </row>
    <row r="9" spans="1:8">
      <c r="C9" s="8"/>
    </row>
    <row r="10" spans="1:8">
      <c r="C10" s="8"/>
    </row>
    <row r="11" spans="1:8">
      <c r="C11" s="8"/>
    </row>
    <row r="12" spans="1:8">
      <c r="C12" s="8"/>
    </row>
    <row r="13" spans="1:8">
      <c r="C13" s="8"/>
    </row>
    <row r="14" spans="1:8">
      <c r="C14" s="8"/>
    </row>
    <row r="15" spans="1:8">
      <c r="C15" s="8"/>
    </row>
    <row r="16" spans="1:8">
      <c r="C16" s="8"/>
    </row>
    <row r="17" spans="3:3">
      <c r="C17" s="8"/>
    </row>
    <row r="18" spans="3:3">
      <c r="C18" s="8"/>
    </row>
    <row r="19" spans="3:3">
      <c r="C19" s="8"/>
    </row>
    <row r="20" spans="3:3">
      <c r="C20" s="8"/>
    </row>
    <row r="21" spans="3:3">
      <c r="C21" s="8"/>
    </row>
    <row r="22" spans="3:3">
      <c r="C22" s="8"/>
    </row>
    <row r="23" spans="3:3">
      <c r="C23" s="8"/>
    </row>
    <row r="24" spans="3:3">
      <c r="C24" s="8"/>
    </row>
    <row r="25" spans="3:3">
      <c r="C25" s="8"/>
    </row>
    <row r="26" spans="3:3">
      <c r="C26" s="8"/>
    </row>
    <row r="27" spans="3:3">
      <c r="C27" s="8"/>
    </row>
    <row r="28" spans="3:3">
      <c r="C28" s="8"/>
    </row>
    <row r="29" spans="3:3">
      <c r="C29" s="8"/>
    </row>
    <row r="30" spans="3:3">
      <c r="C30" s="8"/>
    </row>
    <row r="31" spans="3:3">
      <c r="C31" s="8"/>
    </row>
    <row r="32" spans="3:3">
      <c r="C32" s="8"/>
    </row>
    <row r="33" spans="3:3">
      <c r="C33" s="8"/>
    </row>
    <row r="34" spans="3:3">
      <c r="C34" s="8"/>
    </row>
    <row r="35" spans="3:3">
      <c r="C35" s="8"/>
    </row>
    <row r="36" spans="3:3">
      <c r="C36" s="8"/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  <row r="44" spans="3:3">
      <c r="C44" s="8"/>
    </row>
    <row r="45" spans="3:3">
      <c r="C45" s="8"/>
    </row>
    <row r="46" spans="3:3">
      <c r="C46" s="8"/>
    </row>
    <row r="47" spans="3:3">
      <c r="C47" s="8"/>
    </row>
    <row r="48" spans="3:3">
      <c r="C48" s="8"/>
    </row>
    <row r="49" spans="3:3">
      <c r="C49" s="8"/>
    </row>
    <row r="50" spans="3:3">
      <c r="C50" s="8"/>
    </row>
  </sheetData>
  <dataValidations count="3">
    <dataValidation type="list" sqref="A4:A50" xr:uid="{00000000-0002-0000-0500-000000000000}">
      <formula1>"FOB,NAVLUN,SIGORTA,GUMRUK,DEPOLAMA,KOMISYON,DIGER"</formula1>
    </dataValidation>
    <dataValidation type="list" sqref="D4:D50" xr:uid="{00000000-0002-0000-0500-000001000000}">
      <formula1>"USD,EUR,CNY,TRY"</formula1>
    </dataValidation>
    <dataValidation type="list" sqref="E4:E50" xr:uid="{00000000-0002-0000-0500-000002000000}">
      <formula1>"TAHMINI,GERCEKLESEN"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defaultColWidth="9" defaultRowHeight="13.5"/>
  <cols>
    <col min="1" max="2" width="62" customWidth="1"/>
    <col min="3" max="3" width="12" customWidth="1"/>
  </cols>
  <sheetData>
    <row r="1" spans="1:3" ht="27.95" customHeight="1">
      <c r="A1" s="4" t="s">
        <v>138</v>
      </c>
      <c r="B1" s="4" t="s">
        <v>1</v>
      </c>
      <c r="C1" s="4" t="s">
        <v>1</v>
      </c>
    </row>
    <row r="2" spans="1:3">
      <c r="A2" s="5" t="s">
        <v>6</v>
      </c>
      <c r="B2" s="5" t="s">
        <v>7</v>
      </c>
      <c r="C2" s="5" t="s">
        <v>139</v>
      </c>
    </row>
    <row r="3" spans="1:3" ht="24" customHeight="1">
      <c r="A3" s="3" t="s">
        <v>140</v>
      </c>
      <c r="B3" s="3" t="s">
        <v>141</v>
      </c>
      <c r="C3" s="3" t="s">
        <v>142</v>
      </c>
    </row>
    <row r="4" spans="1:3">
      <c r="A4" s="2" t="s">
        <v>143</v>
      </c>
      <c r="B4" s="2" t="s">
        <v>144</v>
      </c>
      <c r="C4" s="2" t="s">
        <v>142</v>
      </c>
    </row>
    <row r="5" spans="1:3" ht="27">
      <c r="A5" s="2" t="s">
        <v>145</v>
      </c>
      <c r="B5" s="2" t="s">
        <v>146</v>
      </c>
      <c r="C5" s="2" t="s">
        <v>142</v>
      </c>
    </row>
    <row r="6" spans="1:3">
      <c r="A6" s="2" t="s">
        <v>147</v>
      </c>
      <c r="B6" s="2" t="s">
        <v>148</v>
      </c>
      <c r="C6" s="2" t="s">
        <v>142</v>
      </c>
    </row>
    <row r="7" spans="1:3">
      <c r="A7" s="2" t="s">
        <v>149</v>
      </c>
      <c r="B7" s="2" t="s">
        <v>150</v>
      </c>
      <c r="C7" s="2" t="s">
        <v>142</v>
      </c>
    </row>
    <row r="8" spans="1:3" ht="27">
      <c r="A8" s="2" t="s">
        <v>151</v>
      </c>
      <c r="B8" s="2" t="s">
        <v>152</v>
      </c>
      <c r="C8" s="2" t="s">
        <v>142</v>
      </c>
    </row>
    <row r="9" spans="1:3" ht="27">
      <c r="A9" s="2" t="s">
        <v>153</v>
      </c>
      <c r="B9" s="2" t="s">
        <v>154</v>
      </c>
      <c r="C9" s="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defaultColWidth="9" defaultRowHeight="13.5"/>
  <cols>
    <col min="1" max="1" width="18" customWidth="1"/>
    <col min="2" max="2" width="24" customWidth="1"/>
    <col min="3" max="3" width="22" customWidth="1"/>
  </cols>
  <sheetData>
    <row r="1" spans="1:3" ht="27.95" customHeight="1">
      <c r="A1" s="1" t="s">
        <v>155</v>
      </c>
      <c r="B1" s="1" t="s">
        <v>1</v>
      </c>
      <c r="C1" s="1" t="s">
        <v>1</v>
      </c>
    </row>
    <row r="2" spans="1:3">
      <c r="A2" s="2" t="s">
        <v>50</v>
      </c>
      <c r="B2" s="2" t="s">
        <v>104</v>
      </c>
      <c r="C2" s="2" t="s">
        <v>123</v>
      </c>
    </row>
    <row r="3" spans="1:3" ht="24" customHeight="1">
      <c r="A3" s="3" t="s">
        <v>51</v>
      </c>
      <c r="B3" s="3" t="s">
        <v>110</v>
      </c>
      <c r="C3" s="3" t="s">
        <v>156</v>
      </c>
    </row>
    <row r="4" spans="1:3">
      <c r="A4" s="2" t="s">
        <v>157</v>
      </c>
      <c r="B4" s="2" t="s">
        <v>113</v>
      </c>
      <c r="C4" s="2" t="s">
        <v>128</v>
      </c>
    </row>
    <row r="5" spans="1:3">
      <c r="A5" s="2" t="s">
        <v>158</v>
      </c>
      <c r="B5" s="2" t="s">
        <v>116</v>
      </c>
      <c r="C5" s="2" t="s">
        <v>133</v>
      </c>
    </row>
    <row r="6" spans="1:3">
      <c r="A6" s="2" t="s">
        <v>137</v>
      </c>
      <c r="B6" s="2" t="s">
        <v>159</v>
      </c>
      <c r="C6" s="2" t="s">
        <v>135</v>
      </c>
    </row>
    <row r="7" spans="1:3">
      <c r="A7" s="2" t="s">
        <v>1</v>
      </c>
      <c r="B7" s="2" t="s">
        <v>160</v>
      </c>
      <c r="C7" s="2" t="s">
        <v>161</v>
      </c>
    </row>
    <row r="8" spans="1:3">
      <c r="A8" s="2" t="s">
        <v>1</v>
      </c>
      <c r="B8" s="2" t="s">
        <v>1</v>
      </c>
      <c r="C8" s="2" t="s">
        <v>162</v>
      </c>
    </row>
    <row r="9" spans="1:3">
      <c r="A9" s="2" t="s">
        <v>1</v>
      </c>
      <c r="B9" s="2" t="s">
        <v>1</v>
      </c>
      <c r="C9" s="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00_README_CN</vt:lpstr>
      <vt:lpstr>CI_UPLOAD</vt:lpstr>
      <vt:lpstr>PI_UPLOAD</vt:lpstr>
      <vt:lpstr>PL_UPLOAD</vt:lpstr>
      <vt:lpstr>PAYMENT_TERMS</vt:lpstr>
      <vt:lpstr>COST_ITEMS</vt:lpstr>
      <vt:lpstr>CHINA_MESSAGE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</dc:creator>
  <cp:lastModifiedBy>adem terzi</cp:lastModifiedBy>
  <dcterms:created xsi:type="dcterms:W3CDTF">2026-04-26T08:01:24Z</dcterms:created>
  <dcterms:modified xsi:type="dcterms:W3CDTF">2026-04-26T00:48:51Z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CD6144C6B647C854BA56ED69B67C3C67_43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