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Genel Dökümanlar\cin ofis için gerekli dokumanlar\"/>
    </mc:Choice>
  </mc:AlternateContent>
  <xr:revisionPtr revIDLastSave="0" documentId="8_{C03965F2-9203-48E6-9881-0056C12B4B0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00_Read_Me_CN_TR" sheetId="1" r:id="rId1"/>
    <sheet name="01_Agreement_Info" sheetId="2" r:id="rId2"/>
    <sheet name="02_Proforma_PI" sheetId="3" r:id="rId3"/>
    <sheet name="03_Commercial_Invoice_CI" sheetId="4" r:id="rId4"/>
    <sheet name="04_Packing_List_PL" sheetId="5" r:id="rId5"/>
    <sheet name="05_Cost_Items" sheetId="6" r:id="rId6"/>
    <sheet name="06_Payment_Terms" sheetId="7" r:id="rId7"/>
    <sheet name="07_Lists" sheetId="8" r:id="rId8"/>
    <sheet name="08_Message_To_China_C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4" l="1"/>
  <c r="K6" i="4"/>
  <c r="I6" i="4"/>
  <c r="P5" i="4"/>
  <c r="K5" i="4"/>
  <c r="I5" i="4"/>
  <c r="U6" i="3"/>
  <c r="Q6" i="3"/>
  <c r="O6" i="3"/>
  <c r="U5" i="3"/>
  <c r="Q5" i="3"/>
  <c r="O5" i="3"/>
</calcChain>
</file>

<file path=xl/sharedStrings.xml><?xml version="1.0" encoding="utf-8"?>
<sst xmlns="http://schemas.openxmlformats.org/spreadsheetml/2006/main" count="615" uniqueCount="241">
  <si>
    <t>CPS China Office Standard Template V3</t>
  </si>
  <si>
    <t/>
  </si>
  <si>
    <t>IMPORTANT / 重要说明</t>
  </si>
  <si>
    <t>EN</t>
  </si>
  <si>
    <t>Please do not change sheet names, column names, column order, formulas, or validation lists.</t>
  </si>
  <si>
    <t>CN</t>
  </si>
  <si>
    <t>请不要修改工作表名称、列名、列顺序、公式或下拉列表。只填写空白数据区域。</t>
  </si>
  <si>
    <t>TR</t>
  </si>
  <si>
    <t>Sayfa isimlerini, kolon isimlerini, kolon sırasını ve formülleri değiştirmeyin. Sadece boş alanları doldurun.</t>
  </si>
  <si>
    <t>What was fixed in V3?</t>
  </si>
  <si>
    <t>1</t>
  </si>
  <si>
    <t>Spec field is now mandatory and clearly defined.</t>
  </si>
  <si>
    <t>规格字段现在是必填，并且格式清楚。</t>
  </si>
  <si>
    <t>2</t>
  </si>
  <si>
    <t>Photo link, model code, size, color, material, unit and pair/pc fields were added.</t>
  </si>
  <si>
    <t>新增图片链接、型号、尺码、颜色、材质、单位和双/件字段。</t>
  </si>
  <si>
    <t>3</t>
  </si>
  <si>
    <t>Payment terms page added for advance / before shipment / after arrival payments.</t>
  </si>
  <si>
    <t>新增付款条款页面，用于预付款、发货前付款、到港后付款。</t>
  </si>
  <si>
    <t>4</t>
  </si>
  <si>
    <t>The system understands simple English column names. Chinese explanation is added only for guidance.</t>
  </si>
  <si>
    <t>系统读取英文列名。中文说明仅用于填写指导。</t>
  </si>
  <si>
    <t>Required Spec Format / 规格填写格式</t>
  </si>
  <si>
    <t>Format</t>
  </si>
  <si>
    <t>PRODUCT TYPE / MATERIAL / MODEL / SIZE RANGE / COLOR / FEATURE</t>
  </si>
  <si>
    <t>Example</t>
  </si>
  <si>
    <t>EVA CLOG / EVA / 251218 / SIZE 30-35 / BLUE / LIGHT</t>
  </si>
  <si>
    <t>Bad Example</t>
  </si>
  <si>
    <t>long boy, normal, nice quality, sample text</t>
  </si>
  <si>
    <t>File usage</t>
  </si>
  <si>
    <t>Proforma_PI</t>
  </si>
  <si>
    <t>Estimated price / plan cost. 预计价格 / 计划成本。</t>
  </si>
  <si>
    <t>Commercial_Invoice_CI</t>
  </si>
  <si>
    <t>Actual invoice / actual FOB. 实际发票 / 实际FOB。</t>
  </si>
  <si>
    <t>Packing_List_PL</t>
  </si>
  <si>
    <t>Quantity, kg, cartons, CBM. 数量、重量、箱数、体积。</t>
  </si>
  <si>
    <t>Cost_Items</t>
  </si>
  <si>
    <t>Freight, insurance, customs, port, commission. 运费、保险、关税、港杂费、佣金。</t>
  </si>
  <si>
    <t>Payment_Terms</t>
  </si>
  <si>
    <t>Payment plan and dates. 付款计划和日期。</t>
  </si>
  <si>
    <t>AGREEMENT / ORDER HEADER</t>
  </si>
  <si>
    <t>Field</t>
  </si>
  <si>
    <t>Value</t>
  </si>
  <si>
    <t>Chinese Guidance</t>
  </si>
  <si>
    <t>Required</t>
  </si>
  <si>
    <t>System Use</t>
  </si>
  <si>
    <t>Supplier_Name</t>
  </si>
  <si>
    <t>Chengyu Global Trading Co., Ltd.</t>
  </si>
  <si>
    <t>供应商英文名称</t>
  </si>
  <si>
    <t>YES</t>
  </si>
  <si>
    <t>Supplier matching</t>
  </si>
  <si>
    <t>Supplier_Chinese_Name</t>
  </si>
  <si>
    <t>承钰寰球贸易有限公司</t>
  </si>
  <si>
    <t>供应商中文名称</t>
  </si>
  <si>
    <t>NO</t>
  </si>
  <si>
    <t>Display only</t>
  </si>
  <si>
    <t>Buyer_Company</t>
  </si>
  <si>
    <t>Solariz / CPS Test</t>
  </si>
  <si>
    <t>买方公司</t>
  </si>
  <si>
    <t>Header</t>
  </si>
  <si>
    <t>Order_Project</t>
  </si>
  <si>
    <t>SEBS Raw Material Test</t>
  </si>
  <si>
    <t>订单项目名称</t>
  </si>
  <si>
    <t>Party title</t>
  </si>
  <si>
    <t>PI_No</t>
  </si>
  <si>
    <t>PI20260402-LIGHTING-001</t>
  </si>
  <si>
    <t>形式发票号码</t>
  </si>
  <si>
    <t>Reference</t>
  </si>
  <si>
    <t>CI_No</t>
  </si>
  <si>
    <t>CI20260402-LIGHTING-001</t>
  </si>
  <si>
    <t>商业发票号码</t>
  </si>
  <si>
    <t>Shipment_Terms</t>
  </si>
  <si>
    <t>EXW</t>
  </si>
  <si>
    <t>贸易条款：EXW/FOB/CFR/CIF</t>
  </si>
  <si>
    <t>Cost interpretation</t>
  </si>
  <si>
    <t>Origin_Country</t>
  </si>
  <si>
    <t>China</t>
  </si>
  <si>
    <t>原产国</t>
  </si>
  <si>
    <t>Import data</t>
  </si>
  <si>
    <t>Destination_Country</t>
  </si>
  <si>
    <t>Turkey</t>
  </si>
  <si>
    <t>目的国</t>
  </si>
  <si>
    <t>Destination_Port</t>
  </si>
  <si>
    <t>Istanbul</t>
  </si>
  <si>
    <t>目的港</t>
  </si>
  <si>
    <t>Logistics</t>
  </si>
  <si>
    <t>Currency</t>
  </si>
  <si>
    <t>USD</t>
  </si>
  <si>
    <t>币种 USD/EUR/CNY</t>
  </si>
  <si>
    <t>RMB_USD_Rate</t>
  </si>
  <si>
    <t>人民币兑美元汇率</t>
  </si>
  <si>
    <t>YES if RMB exists</t>
  </si>
  <si>
    <t>Amount conversion</t>
  </si>
  <si>
    <t>Order_Date</t>
  </si>
  <si>
    <t>订单日期</t>
  </si>
  <si>
    <t>Document date</t>
  </si>
  <si>
    <t>Estimated_Loading_Date</t>
  </si>
  <si>
    <t>预计装柜日期</t>
  </si>
  <si>
    <t>Planning</t>
  </si>
  <si>
    <t>Estimated_Arrival_Date</t>
  </si>
  <si>
    <t>预计到港日期</t>
  </si>
  <si>
    <t>Payment planning</t>
  </si>
  <si>
    <t>Notes</t>
  </si>
  <si>
    <t>Please keep column names unchanged.</t>
  </si>
  <si>
    <t>请保持列名不变</t>
  </si>
  <si>
    <t>PROFORMA / PI — STANDARD INPUT</t>
  </si>
  <si>
    <t>Instruction / 中文说明</t>
  </si>
  <si>
    <t>Spec is mandatory. 规格必填。Format: PRODUCT TYPE / MATERIAL / MODEL / SIZE RANGE / COLOR / FEATURE. Do not write short unclear text like 'long boy'.</t>
  </si>
  <si>
    <t>Item_No</t>
  </si>
  <si>
    <t>Photo_Link</t>
  </si>
  <si>
    <t>Product_Code</t>
  </si>
  <si>
    <t>Product_Name</t>
  </si>
  <si>
    <t>Spec</t>
  </si>
  <si>
    <t>Product_Type</t>
  </si>
  <si>
    <t>Material</t>
  </si>
  <si>
    <t>Gender_Age</t>
  </si>
  <si>
    <t>Size_Range</t>
  </si>
  <si>
    <t>Color</t>
  </si>
  <si>
    <t>Feature</t>
  </si>
  <si>
    <t>Unit</t>
  </si>
  <si>
    <t>Qty</t>
  </si>
  <si>
    <t>Unit_Price_RMB</t>
  </si>
  <si>
    <t>Amount_RMB</t>
  </si>
  <si>
    <t>Unit_Price_USD</t>
  </si>
  <si>
    <t>Amount_USD</t>
  </si>
  <si>
    <t>Shipment_Term</t>
  </si>
  <si>
    <t>Formula_Check</t>
  </si>
  <si>
    <t>Notes_CN</t>
  </si>
  <si>
    <t>‘2507-1</t>
  </si>
  <si>
    <t xml:space="preserve">LIGHTING ACCESSORIES 2501-1
Hs code 851310009000 </t>
  </si>
  <si>
    <t>long (boy item)
Red-Yellow color</t>
  </si>
  <si>
    <t>lighting</t>
  </si>
  <si>
    <t>battery and PVC</t>
  </si>
  <si>
    <t>N/A</t>
  </si>
  <si>
    <t>28KG Carton</t>
  </si>
  <si>
    <t>Red-Yellow color</t>
  </si>
  <si>
    <t>pair</t>
  </si>
  <si>
    <t>CFR</t>
  </si>
  <si>
    <t>请填写清楚规格</t>
  </si>
  <si>
    <t>‘2507-2</t>
  </si>
  <si>
    <t xml:space="preserve">LIGHTING ACCESSORIES 2501-2 Hs code 851310009000 </t>
  </si>
  <si>
    <t>long (boy item)
white color</t>
  </si>
  <si>
    <t>white color</t>
  </si>
  <si>
    <t>COMMERCIAL INVOICE — STANDARD INPUT</t>
  </si>
  <si>
    <t>HS_Code</t>
  </si>
  <si>
    <t>Invoice_Date</t>
  </si>
  <si>
    <t>851310009000</t>
  </si>
  <si>
    <t>pairs</t>
  </si>
  <si>
    <t>PACKING LIST — STANDARD INPUT</t>
  </si>
  <si>
    <t>Fill cartons, kg, CBM, container and seal information. 请填写箱数、重量、体积、柜号和封条号。</t>
  </si>
  <si>
    <t>Pairs_or_Pcs</t>
  </si>
  <si>
    <t>Cartons</t>
  </si>
  <si>
    <t>Gross_Weight_KG</t>
  </si>
  <si>
    <t>Net_Weight_KG</t>
  </si>
  <si>
    <t>CBM</t>
  </si>
  <si>
    <t>Container_No</t>
  </si>
  <si>
    <t>Seal_No</t>
  </si>
  <si>
    <t>PL_No</t>
  </si>
  <si>
    <t xml:space="preserve">pairs </t>
  </si>
  <si>
    <t>TCLU1234567</t>
  </si>
  <si>
    <t>SEAL001</t>
  </si>
  <si>
    <t>OTHER COST ITEMS — FREIGHT / INSURANCE / CUSTOMS</t>
  </si>
  <si>
    <t>Cost_Type values: FREIGHT, INSURANCE, CUSTOMS, PORT, COMMISSION, STORAGE, OTHER. 费用类型必须使用标准英文。</t>
  </si>
  <si>
    <t>Cost_No</t>
  </si>
  <si>
    <t>Cost_Type</t>
  </si>
  <si>
    <t>Description</t>
  </si>
  <si>
    <t>Amount</t>
  </si>
  <si>
    <t>Source</t>
  </si>
  <si>
    <t>Invoice_No</t>
  </si>
  <si>
    <t>Cost_Date</t>
  </si>
  <si>
    <t>Related_PI_No</t>
  </si>
  <si>
    <t>Payment_Status</t>
  </si>
  <si>
    <t>FREIGHT</t>
  </si>
  <si>
    <t>Air freight / Sea freight</t>
  </si>
  <si>
    <t>ACTUAL</t>
  </si>
  <si>
    <t>KTH2026000001014</t>
  </si>
  <si>
    <t>UNPAID</t>
  </si>
  <si>
    <t>运费</t>
  </si>
  <si>
    <t>INSURANCE</t>
  </si>
  <si>
    <t>Insurance fee</t>
  </si>
  <si>
    <t>INS20260425-001</t>
  </si>
  <si>
    <t>保险费</t>
  </si>
  <si>
    <t>CUSTOMS</t>
  </si>
  <si>
    <t>Customs / tax estimate</t>
  </si>
  <si>
    <t>TRY</t>
  </si>
  <si>
    <t>关税/税费</t>
  </si>
  <si>
    <t>PAYMENT TERMS — CASH PLAN</t>
  </si>
  <si>
    <t>Payment_Type: PREPAID, BEFORE_SHIPMENT, AFTER_ARRIVAL, AFTER_DOCUMENTS, OTHER. Paid_Status: PAID or UNPAID. 请填写付款类型和状态。</t>
  </si>
  <si>
    <t>Payment_No</t>
  </si>
  <si>
    <t>Payment_Type</t>
  </si>
  <si>
    <t>Percent</t>
  </si>
  <si>
    <t>Payment_Amount</t>
  </si>
  <si>
    <t>Due_Days</t>
  </si>
  <si>
    <t>Expected_Payment_Date</t>
  </si>
  <si>
    <t>Paid_Status</t>
  </si>
  <si>
    <t>Paid_Date</t>
  </si>
  <si>
    <t>Reference_PI_CI</t>
  </si>
  <si>
    <t>Bank_Or_Method</t>
  </si>
  <si>
    <t>PREPAID</t>
  </si>
  <si>
    <t>PAID</t>
  </si>
  <si>
    <t>TT</t>
  </si>
  <si>
    <t>预付款</t>
  </si>
  <si>
    <t>BEFORE_SHIPMENT</t>
  </si>
  <si>
    <t>装柜前付款</t>
  </si>
  <si>
    <t>AFTER_ARRIVAL</t>
  </si>
  <si>
    <t>到港后付款</t>
  </si>
  <si>
    <t>Allowed Values / 下拉参考</t>
  </si>
  <si>
    <t>EUR</t>
  </si>
  <si>
    <t>CNY</t>
  </si>
  <si>
    <t>RMB</t>
  </si>
  <si>
    <t>FOB</t>
  </si>
  <si>
    <t>CIF</t>
  </si>
  <si>
    <t>PORT</t>
  </si>
  <si>
    <t>COMMISSION</t>
  </si>
  <si>
    <t>STORAGE</t>
  </si>
  <si>
    <t>Cost_Type_2</t>
  </si>
  <si>
    <t>OTHER</t>
  </si>
  <si>
    <t>ESTIMATE</t>
  </si>
  <si>
    <t>AFTER_DOCUMENTS</t>
  </si>
  <si>
    <t>PARTIAL</t>
  </si>
  <si>
    <t>PAIR</t>
  </si>
  <si>
    <t>PC</t>
  </si>
  <si>
    <t>KG</t>
  </si>
  <si>
    <t>SET</t>
  </si>
  <si>
    <t>CARTON</t>
  </si>
  <si>
    <t>Spec format</t>
  </si>
  <si>
    <t>中文发送说明 / Message to China Office</t>
  </si>
  <si>
    <t>请使用这个V3模板填写。之前版本里面规格（Spec）信息不够完整，这一版已经补充。</t>
  </si>
  <si>
    <t>Please use this V3 template. The previous version did not define Spec enough; this version is corrected.</t>
  </si>
  <si>
    <t>重要要求：</t>
  </si>
  <si>
    <t>1. 不要改工作表名称。</t>
  </si>
  <si>
    <t>2. 不要改列名和列顺序。</t>
  </si>
  <si>
    <t>3. 每个产品单独一行。</t>
  </si>
  <si>
    <t>4. Spec 必须完整填写：PRODUCT TYPE / MATERIAL / MODEL / SIZE RANGE / COLOR / FEATURE。</t>
  </si>
  <si>
    <t>5. 必须填写数量、单价、总金额和币种。</t>
  </si>
  <si>
    <t>6. Qty × Unit Price 必须等于 Amount。</t>
  </si>
  <si>
    <t>7. Packing List 必须填写 Cartons、Gross KG、Net KG、CBM、Container No、Seal No。</t>
  </si>
  <si>
    <t>8. Payment_Terms 必须填写预付款、发货前付款、到港后付款等条款。</t>
  </si>
  <si>
    <t>9. 请保持 Excel .xlsx 格式，不要转成 PDF。</t>
  </si>
  <si>
    <t>如果有不适用的字段，请填写 N/A，不要删除列。</t>
  </si>
  <si>
    <t>谢谢配合。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</si>
</sst>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yyyy\-mm\-dd"/>
  </numFmts>
  <fonts count="9">
    <font>
      <sz val="11"/>
      <name val="Carlito"/>
      <charset val="134"/>
    </font>
    <font>
      <b/>
      <sz val="12"/>
      <color rgb="FF111827"/>
      <name val="Carlito"/>
      <charset val="134"/>
    </font>
    <font>
      <sz val="12"/>
      <name val="Carlito"/>
      <charset val="134"/>
    </font>
    <font>
      <b/>
      <sz val="16"/>
      <color rgb="FF111827"/>
      <name val="Carlito"/>
      <charset val="134"/>
    </font>
    <font>
      <b/>
      <sz val="11"/>
      <color rgb="FF111827"/>
      <name val="Carlito"/>
      <charset val="134"/>
    </font>
    <font>
      <sz val="12"/>
      <name val="Times New Roman"/>
      <family val="1"/>
    </font>
    <font>
      <b/>
      <sz val="11"/>
      <color rgb="FF1F2937"/>
      <name val="Carlito"/>
      <charset val="134"/>
    </font>
    <font>
      <sz val="12"/>
      <name val="宋体"/>
      <charset val="134"/>
    </font>
    <font>
      <sz val="11"/>
      <name val="Carlito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8" fillId="0" borderId="0"/>
    <xf numFmtId="0" fontId="7" fillId="0" borderId="0"/>
  </cellStyleXfs>
  <cellXfs count="15">
    <xf numFmtId="0" fontId="0" fillId="0" borderId="0" xfId="0" applyAlignment="1"/>
    <xf numFmtId="0" fontId="1" fillId="0" borderId="0" xfId="1" applyFont="1" applyAlignment="1">
      <alignment vertical="center" wrapText="1"/>
    </xf>
    <xf numFmtId="0" fontId="2" fillId="0" borderId="0" xfId="1" applyFont="1" applyAlignment="1">
      <alignment wrapText="1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8" fillId="0" borderId="0" xfId="1" applyAlignment="1">
      <alignment wrapText="1"/>
    </xf>
    <xf numFmtId="0" fontId="8" fillId="0" borderId="0" xfId="1" applyAlignment="1">
      <alignment vertical="center" wrapText="1"/>
    </xf>
    <xf numFmtId="4" fontId="8" fillId="0" borderId="0" xfId="1" applyNumberFormat="1" applyAlignment="1">
      <alignment vertical="center" wrapText="1"/>
    </xf>
    <xf numFmtId="168" fontId="8" fillId="0" borderId="0" xfId="1" applyNumberFormat="1" applyAlignment="1">
      <alignment vertical="center" wrapText="1"/>
    </xf>
    <xf numFmtId="4" fontId="8" fillId="0" borderId="0" xfId="1" applyNumberFormat="1" applyAlignment="1">
      <alignment wrapText="1"/>
    </xf>
    <xf numFmtId="168" fontId="8" fillId="0" borderId="0" xfId="1" applyNumberFormat="1" applyAlignment="1">
      <alignment wrapText="1"/>
    </xf>
    <xf numFmtId="17" fontId="5" fillId="0" borderId="0" xfId="2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left" vertical="center" wrapText="1"/>
    </xf>
    <xf numFmtId="0" fontId="6" fillId="0" borderId="0" xfId="1" applyFont="1" applyAlignment="1">
      <alignment wrapText="1"/>
    </xf>
    <xf numFmtId="0" fontId="8" fillId="0" borderId="0" xfId="1" quotePrefix="1" applyAlignment="1">
      <alignment vertical="center" wrapText="1"/>
    </xf>
  </cellXfs>
  <cellStyles count="3">
    <cellStyle name="Normal" xfId="0" builtinId="0"/>
    <cellStyle name="Normal 2" xfId="1" xr:uid="{00000000-0005-0000-0000-000031000000}"/>
    <cellStyle name="常规_Sheet1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tabSelected="1" workbookViewId="0">
      <selection activeCell="B1" sqref="B1"/>
    </sheetView>
  </sheetViews>
  <sheetFormatPr defaultColWidth="9" defaultRowHeight="13.5"/>
  <cols>
    <col min="1" max="1" width="18" customWidth="1"/>
    <col min="2" max="2" width="65" customWidth="1"/>
    <col min="3" max="3" width="55" customWidth="1"/>
    <col min="4" max="4" width="20" customWidth="1"/>
  </cols>
  <sheetData>
    <row r="1" spans="1:4" ht="78.2" customHeight="1">
      <c r="A1" s="3" t="s">
        <v>0</v>
      </c>
      <c r="B1" s="3" t="s">
        <v>1</v>
      </c>
      <c r="C1" s="3" t="s">
        <v>1</v>
      </c>
      <c r="D1" s="3" t="s">
        <v>1</v>
      </c>
    </row>
    <row r="2" spans="1:4" ht="26.85" customHeight="1">
      <c r="A2" s="13" t="s">
        <v>2</v>
      </c>
      <c r="B2" s="13" t="s">
        <v>1</v>
      </c>
      <c r="C2" s="13" t="s">
        <v>1</v>
      </c>
      <c r="D2" s="13" t="s">
        <v>1</v>
      </c>
    </row>
    <row r="3" spans="1:4" ht="26.85" customHeight="1">
      <c r="A3" s="5" t="s">
        <v>3</v>
      </c>
      <c r="B3" s="5" t="s">
        <v>4</v>
      </c>
      <c r="C3" s="5" t="s">
        <v>1</v>
      </c>
      <c r="D3" s="5" t="s">
        <v>1</v>
      </c>
    </row>
    <row r="4" spans="1:4" ht="26.85" customHeight="1">
      <c r="A4" s="5" t="s">
        <v>5</v>
      </c>
      <c r="B4" s="5" t="s">
        <v>6</v>
      </c>
      <c r="C4" s="5" t="s">
        <v>1</v>
      </c>
      <c r="D4" s="5" t="s">
        <v>1</v>
      </c>
    </row>
    <row r="5" spans="1:4" ht="26.85" customHeight="1">
      <c r="A5" s="5" t="s">
        <v>7</v>
      </c>
      <c r="B5" s="5" t="s">
        <v>8</v>
      </c>
      <c r="C5" s="5" t="s">
        <v>1</v>
      </c>
      <c r="D5" s="5" t="s">
        <v>1</v>
      </c>
    </row>
    <row r="6" spans="1:4" ht="15" customHeight="1">
      <c r="A6" s="5" t="s">
        <v>1</v>
      </c>
      <c r="B6" s="5" t="s">
        <v>1</v>
      </c>
      <c r="C6" s="5" t="s">
        <v>1</v>
      </c>
      <c r="D6" s="5" t="s">
        <v>1</v>
      </c>
    </row>
    <row r="7" spans="1:4" ht="26.85" customHeight="1">
      <c r="A7" s="13" t="s">
        <v>9</v>
      </c>
      <c r="B7" s="13" t="s">
        <v>1</v>
      </c>
      <c r="C7" s="13" t="s">
        <v>1</v>
      </c>
      <c r="D7" s="13" t="s">
        <v>1</v>
      </c>
    </row>
    <row r="8" spans="1:4" ht="15" customHeight="1">
      <c r="A8" s="5" t="s">
        <v>10</v>
      </c>
      <c r="B8" s="5" t="s">
        <v>11</v>
      </c>
      <c r="C8" s="5" t="s">
        <v>12</v>
      </c>
      <c r="D8" s="5" t="s">
        <v>1</v>
      </c>
    </row>
    <row r="9" spans="1:4" ht="26.85" customHeight="1">
      <c r="A9" s="5" t="s">
        <v>13</v>
      </c>
      <c r="B9" s="5" t="s">
        <v>14</v>
      </c>
      <c r="C9" s="5" t="s">
        <v>15</v>
      </c>
      <c r="D9" s="5" t="s">
        <v>1</v>
      </c>
    </row>
    <row r="10" spans="1:4" ht="26.85" customHeight="1">
      <c r="A10" s="5" t="s">
        <v>16</v>
      </c>
      <c r="B10" s="5" t="s">
        <v>17</v>
      </c>
      <c r="C10" s="5" t="s">
        <v>18</v>
      </c>
      <c r="D10" s="5" t="s">
        <v>1</v>
      </c>
    </row>
    <row r="11" spans="1:4" ht="26.85" customHeight="1">
      <c r="A11" s="5" t="s">
        <v>19</v>
      </c>
      <c r="B11" s="5" t="s">
        <v>20</v>
      </c>
      <c r="C11" s="5" t="s">
        <v>21</v>
      </c>
      <c r="D11" s="5" t="s">
        <v>1</v>
      </c>
    </row>
    <row r="12" spans="1:4" ht="15" customHeight="1">
      <c r="A12" s="5" t="s">
        <v>1</v>
      </c>
      <c r="B12" s="5" t="s">
        <v>1</v>
      </c>
      <c r="C12" s="5" t="s">
        <v>1</v>
      </c>
      <c r="D12" s="5" t="s">
        <v>1</v>
      </c>
    </row>
    <row r="13" spans="1:4" ht="40.35" customHeight="1">
      <c r="A13" s="13" t="s">
        <v>22</v>
      </c>
      <c r="B13" s="13" t="s">
        <v>1</v>
      </c>
      <c r="C13" s="13" t="s">
        <v>1</v>
      </c>
      <c r="D13" s="13" t="s">
        <v>1</v>
      </c>
    </row>
    <row r="14" spans="1:4" ht="15" customHeight="1">
      <c r="A14" s="5" t="s">
        <v>23</v>
      </c>
      <c r="B14" s="5" t="s">
        <v>24</v>
      </c>
      <c r="C14" s="5" t="s">
        <v>1</v>
      </c>
      <c r="D14" s="5" t="s">
        <v>1</v>
      </c>
    </row>
    <row r="15" spans="1:4" ht="15" customHeight="1">
      <c r="A15" s="5" t="s">
        <v>25</v>
      </c>
      <c r="B15" s="5" t="s">
        <v>26</v>
      </c>
      <c r="C15" s="5" t="s">
        <v>1</v>
      </c>
      <c r="D15" s="5" t="s">
        <v>1</v>
      </c>
    </row>
    <row r="16" spans="1:4" ht="15" customHeight="1">
      <c r="A16" s="5" t="s">
        <v>27</v>
      </c>
      <c r="B16" s="5" t="s">
        <v>28</v>
      </c>
      <c r="C16" s="5" t="s">
        <v>1</v>
      </c>
      <c r="D16" s="5" t="s">
        <v>1</v>
      </c>
    </row>
    <row r="17" spans="1:4" ht="15" customHeight="1">
      <c r="A17" s="5" t="s">
        <v>1</v>
      </c>
      <c r="B17" s="5" t="s">
        <v>1</v>
      </c>
      <c r="C17" s="5" t="s">
        <v>1</v>
      </c>
      <c r="D17" s="5" t="s">
        <v>1</v>
      </c>
    </row>
    <row r="18" spans="1:4" ht="15" customHeight="1">
      <c r="A18" s="13" t="s">
        <v>29</v>
      </c>
      <c r="B18" s="13" t="s">
        <v>1</v>
      </c>
      <c r="C18" s="13" t="s">
        <v>1</v>
      </c>
      <c r="D18" s="13" t="s">
        <v>1</v>
      </c>
    </row>
    <row r="19" spans="1:4" ht="15" customHeight="1">
      <c r="A19" s="5" t="s">
        <v>30</v>
      </c>
      <c r="B19" s="5" t="s">
        <v>31</v>
      </c>
      <c r="C19" s="5" t="s">
        <v>1</v>
      </c>
      <c r="D19" s="5" t="s">
        <v>1</v>
      </c>
    </row>
    <row r="20" spans="1:4" ht="26.85" customHeight="1">
      <c r="A20" s="5" t="s">
        <v>32</v>
      </c>
      <c r="B20" s="5" t="s">
        <v>33</v>
      </c>
      <c r="C20" s="5" t="s">
        <v>1</v>
      </c>
      <c r="D20" s="5" t="s">
        <v>1</v>
      </c>
    </row>
    <row r="21" spans="1:4" ht="15" customHeight="1">
      <c r="A21" s="5" t="s">
        <v>34</v>
      </c>
      <c r="B21" s="5" t="s">
        <v>35</v>
      </c>
      <c r="C21" s="5" t="s">
        <v>1</v>
      </c>
      <c r="D21" s="5" t="s">
        <v>1</v>
      </c>
    </row>
    <row r="22" spans="1:4" ht="26.85" customHeight="1">
      <c r="A22" s="5" t="s">
        <v>36</v>
      </c>
      <c r="B22" s="5" t="s">
        <v>37</v>
      </c>
      <c r="C22" s="5" t="s">
        <v>1</v>
      </c>
      <c r="D22" s="5" t="s">
        <v>1</v>
      </c>
    </row>
    <row r="23" spans="1:4" ht="15" customHeight="1">
      <c r="A23" s="5" t="s">
        <v>38</v>
      </c>
      <c r="B23" s="5" t="s">
        <v>39</v>
      </c>
      <c r="C23" s="5" t="s">
        <v>1</v>
      </c>
      <c r="D23" s="5" t="s">
        <v>1</v>
      </c>
    </row>
    <row r="24" spans="1:4" ht="15" customHeight="1">
      <c r="A24" s="5"/>
      <c r="B24" s="5"/>
      <c r="C24" s="5"/>
      <c r="D24" s="5"/>
    </row>
    <row r="25" spans="1:4" ht="15" customHeight="1">
      <c r="A25" s="5"/>
      <c r="B25" s="5"/>
      <c r="C25" s="5"/>
      <c r="D2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showGridLines="0" workbookViewId="0">
      <selection activeCell="B7" sqref="B7"/>
    </sheetView>
  </sheetViews>
  <sheetFormatPr defaultColWidth="9" defaultRowHeight="13.5"/>
  <cols>
    <col min="1" max="1" width="26" customWidth="1"/>
    <col min="2" max="2" width="32" customWidth="1"/>
    <col min="3" max="3" width="38" customWidth="1"/>
    <col min="4" max="4" width="18" customWidth="1"/>
    <col min="5" max="5" width="24" customWidth="1"/>
  </cols>
  <sheetData>
    <row r="1" spans="1:5" ht="40.5">
      <c r="A1" s="3" t="s">
        <v>40</v>
      </c>
      <c r="B1" s="3" t="s">
        <v>1</v>
      </c>
      <c r="C1" s="3" t="s">
        <v>1</v>
      </c>
      <c r="D1" s="3" t="s">
        <v>1</v>
      </c>
      <c r="E1" s="3" t="s">
        <v>1</v>
      </c>
    </row>
    <row r="2" spans="1:5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</row>
    <row r="3" spans="1:5" ht="27">
      <c r="A3" s="5" t="s">
        <v>46</v>
      </c>
      <c r="B3" s="5" t="s">
        <v>47</v>
      </c>
      <c r="C3" s="5" t="s">
        <v>48</v>
      </c>
      <c r="D3" s="5" t="s">
        <v>49</v>
      </c>
      <c r="E3" s="5" t="s">
        <v>50</v>
      </c>
    </row>
    <row r="4" spans="1:5">
      <c r="A4" s="5" t="s">
        <v>51</v>
      </c>
      <c r="B4" s="5" t="s">
        <v>52</v>
      </c>
      <c r="C4" s="5" t="s">
        <v>53</v>
      </c>
      <c r="D4" s="5" t="s">
        <v>54</v>
      </c>
      <c r="E4" s="5" t="s">
        <v>55</v>
      </c>
    </row>
    <row r="5" spans="1:5">
      <c r="A5" s="5" t="s">
        <v>56</v>
      </c>
      <c r="B5" s="5" t="s">
        <v>57</v>
      </c>
      <c r="C5" s="5" t="s">
        <v>58</v>
      </c>
      <c r="D5" s="5" t="s">
        <v>49</v>
      </c>
      <c r="E5" s="5" t="s">
        <v>59</v>
      </c>
    </row>
    <row r="6" spans="1:5">
      <c r="A6" s="5" t="s">
        <v>60</v>
      </c>
      <c r="B6" s="5" t="s">
        <v>61</v>
      </c>
      <c r="C6" s="5" t="s">
        <v>62</v>
      </c>
      <c r="D6" s="5" t="s">
        <v>49</v>
      </c>
      <c r="E6" s="5" t="s">
        <v>63</v>
      </c>
    </row>
    <row r="7" spans="1:5">
      <c r="A7" s="5" t="s">
        <v>64</v>
      </c>
      <c r="B7" s="5" t="s">
        <v>65</v>
      </c>
      <c r="C7" s="5" t="s">
        <v>66</v>
      </c>
      <c r="D7" s="5" t="s">
        <v>49</v>
      </c>
      <c r="E7" s="5" t="s">
        <v>67</v>
      </c>
    </row>
    <row r="8" spans="1:5">
      <c r="A8" s="5" t="s">
        <v>68</v>
      </c>
      <c r="B8" s="5" t="s">
        <v>69</v>
      </c>
      <c r="C8" s="5" t="s">
        <v>70</v>
      </c>
      <c r="D8" s="5" t="s">
        <v>54</v>
      </c>
      <c r="E8" s="5" t="s">
        <v>67</v>
      </c>
    </row>
    <row r="9" spans="1:5">
      <c r="A9" s="5" t="s">
        <v>71</v>
      </c>
      <c r="B9" s="5" t="s">
        <v>72</v>
      </c>
      <c r="C9" s="5" t="s">
        <v>73</v>
      </c>
      <c r="D9" s="5" t="s">
        <v>49</v>
      </c>
      <c r="E9" s="5" t="s">
        <v>74</v>
      </c>
    </row>
    <row r="10" spans="1:5">
      <c r="A10" s="5" t="s">
        <v>75</v>
      </c>
      <c r="B10" s="5" t="s">
        <v>76</v>
      </c>
      <c r="C10" s="5" t="s">
        <v>77</v>
      </c>
      <c r="D10" s="5" t="s">
        <v>49</v>
      </c>
      <c r="E10" s="5" t="s">
        <v>78</v>
      </c>
    </row>
    <row r="11" spans="1:5">
      <c r="A11" s="5" t="s">
        <v>79</v>
      </c>
      <c r="B11" s="5" t="s">
        <v>80</v>
      </c>
      <c r="C11" s="5" t="s">
        <v>81</v>
      </c>
      <c r="D11" s="5" t="s">
        <v>49</v>
      </c>
      <c r="E11" s="5" t="s">
        <v>78</v>
      </c>
    </row>
    <row r="12" spans="1:5">
      <c r="A12" s="5" t="s">
        <v>82</v>
      </c>
      <c r="B12" s="5" t="s">
        <v>83</v>
      </c>
      <c r="C12" s="5" t="s">
        <v>84</v>
      </c>
      <c r="D12" s="5" t="s">
        <v>49</v>
      </c>
      <c r="E12" s="5" t="s">
        <v>85</v>
      </c>
    </row>
    <row r="13" spans="1:5">
      <c r="A13" s="5" t="s">
        <v>86</v>
      </c>
      <c r="B13" s="5" t="s">
        <v>87</v>
      </c>
      <c r="C13" s="5" t="s">
        <v>88</v>
      </c>
      <c r="D13" s="5" t="s">
        <v>49</v>
      </c>
      <c r="E13" s="5" t="s">
        <v>86</v>
      </c>
    </row>
    <row r="14" spans="1:5" ht="27">
      <c r="A14" s="5" t="s">
        <v>89</v>
      </c>
      <c r="B14" s="5">
        <v>6.8</v>
      </c>
      <c r="C14" s="5" t="s">
        <v>90</v>
      </c>
      <c r="D14" s="5" t="s">
        <v>91</v>
      </c>
      <c r="E14" s="5" t="s">
        <v>92</v>
      </c>
    </row>
    <row r="15" spans="1:5">
      <c r="A15" s="5" t="s">
        <v>93</v>
      </c>
      <c r="B15" s="10">
        <v>46114</v>
      </c>
      <c r="C15" s="5" t="s">
        <v>94</v>
      </c>
      <c r="D15" s="5" t="s">
        <v>49</v>
      </c>
      <c r="E15" s="5" t="s">
        <v>95</v>
      </c>
    </row>
    <row r="16" spans="1:5">
      <c r="A16" s="5" t="s">
        <v>96</v>
      </c>
      <c r="B16" s="10">
        <v>46152</v>
      </c>
      <c r="C16" s="5" t="s">
        <v>97</v>
      </c>
      <c r="D16" s="5" t="s">
        <v>54</v>
      </c>
      <c r="E16" s="5" t="s">
        <v>98</v>
      </c>
    </row>
    <row r="17" spans="1:5">
      <c r="A17" s="5" t="s">
        <v>99</v>
      </c>
      <c r="B17" s="10">
        <v>46183</v>
      </c>
      <c r="C17" s="5" t="s">
        <v>100</v>
      </c>
      <c r="D17" s="5" t="s">
        <v>54</v>
      </c>
      <c r="E17" s="5" t="s">
        <v>101</v>
      </c>
    </row>
    <row r="18" spans="1:5" ht="27">
      <c r="A18" s="5" t="s">
        <v>102</v>
      </c>
      <c r="B18" s="5" t="s">
        <v>103</v>
      </c>
      <c r="C18" s="5" t="s">
        <v>104</v>
      </c>
      <c r="D18" s="5" t="s">
        <v>54</v>
      </c>
      <c r="E18" s="5" t="s">
        <v>102</v>
      </c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"/>
  <sheetViews>
    <sheetView showGridLines="0" topLeftCell="G2" workbookViewId="0">
      <selection activeCell="M11" sqref="M11"/>
    </sheetView>
  </sheetViews>
  <sheetFormatPr defaultColWidth="9" defaultRowHeight="13.5"/>
  <cols>
    <col min="1" max="1" width="12" customWidth="1"/>
    <col min="2" max="3" width="18" customWidth="1"/>
    <col min="4" max="4" width="26" customWidth="1"/>
    <col min="5" max="5" width="42" customWidth="1"/>
    <col min="6" max="10" width="16" customWidth="1"/>
    <col min="11" max="11" width="18" customWidth="1"/>
    <col min="12" max="12" width="14" customWidth="1"/>
    <col min="13" max="13" width="12" customWidth="1"/>
    <col min="14" max="17" width="16" customWidth="1"/>
    <col min="18" max="19" width="14" customWidth="1"/>
    <col min="20" max="20" width="22" customWidth="1"/>
    <col min="21" max="21" width="18" customWidth="1"/>
    <col min="22" max="22" width="28" customWidth="1"/>
  </cols>
  <sheetData>
    <row r="1" spans="1:22" ht="101.25">
      <c r="A1" s="3" t="s">
        <v>105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</row>
    <row r="2" spans="1:22" ht="148.5">
      <c r="A2" s="5" t="s">
        <v>106</v>
      </c>
      <c r="B2" s="5" t="s">
        <v>107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  <c r="V2" s="5" t="s">
        <v>1</v>
      </c>
    </row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42" customHeight="1">
      <c r="A4" s="4" t="s">
        <v>108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113</v>
      </c>
      <c r="G4" s="4" t="s">
        <v>114</v>
      </c>
      <c r="H4" s="4" t="s">
        <v>115</v>
      </c>
      <c r="I4" s="4" t="s">
        <v>116</v>
      </c>
      <c r="J4" s="4" t="s">
        <v>117</v>
      </c>
      <c r="K4" s="4" t="s">
        <v>118</v>
      </c>
      <c r="L4" s="4" t="s">
        <v>119</v>
      </c>
      <c r="M4" s="4" t="s">
        <v>120</v>
      </c>
      <c r="N4" s="4" t="s">
        <v>121</v>
      </c>
      <c r="O4" s="4" t="s">
        <v>122</v>
      </c>
      <c r="P4" s="4" t="s">
        <v>123</v>
      </c>
      <c r="Q4" s="4" t="s">
        <v>124</v>
      </c>
      <c r="R4" s="4" t="s">
        <v>86</v>
      </c>
      <c r="S4" s="4" t="s">
        <v>125</v>
      </c>
      <c r="T4" s="4" t="s">
        <v>64</v>
      </c>
      <c r="U4" s="4" t="s">
        <v>126</v>
      </c>
      <c r="V4" s="4" t="s">
        <v>127</v>
      </c>
    </row>
    <row r="5" spans="1:22" ht="38.1" customHeight="1">
      <c r="A5" s="6">
        <v>1</v>
      </c>
      <c r="B5" s="6"/>
      <c r="C5" s="11" t="s">
        <v>128</v>
      </c>
      <c r="D5" s="6" t="s">
        <v>129</v>
      </c>
      <c r="E5" s="12" t="s">
        <v>130</v>
      </c>
      <c r="F5" s="6" t="s">
        <v>131</v>
      </c>
      <c r="G5" s="6" t="s">
        <v>132</v>
      </c>
      <c r="H5" s="6" t="s">
        <v>133</v>
      </c>
      <c r="I5" s="6" t="s">
        <v>134</v>
      </c>
      <c r="J5" s="6" t="s">
        <v>135</v>
      </c>
      <c r="K5" s="6" t="s">
        <v>131</v>
      </c>
      <c r="L5" s="6" t="s">
        <v>136</v>
      </c>
      <c r="M5" s="7">
        <v>10000</v>
      </c>
      <c r="N5" s="7">
        <v>3.6560000000000001</v>
      </c>
      <c r="O5" s="7">
        <f>M5*N5</f>
        <v>36560</v>
      </c>
      <c r="P5" s="7">
        <v>0.53700000000000003</v>
      </c>
      <c r="Q5" s="7">
        <f>M5*P5</f>
        <v>5370</v>
      </c>
      <c r="R5" s="6" t="s">
        <v>87</v>
      </c>
      <c r="S5" s="6" t="s">
        <v>137</v>
      </c>
      <c r="T5" s="6" t="s">
        <v>65</v>
      </c>
      <c r="U5" s="6" t="str">
        <f>IF(ABS(Q5-M5*P5)&lt;0.01,"OK","CHECK")</f>
        <v>OK</v>
      </c>
      <c r="V5" s="6" t="s">
        <v>138</v>
      </c>
    </row>
    <row r="6" spans="1:22" ht="38.1" customHeight="1">
      <c r="A6" s="6">
        <v>2</v>
      </c>
      <c r="B6" s="6"/>
      <c r="C6" s="11" t="s">
        <v>139</v>
      </c>
      <c r="D6" s="6" t="s">
        <v>140</v>
      </c>
      <c r="E6" s="12" t="s">
        <v>141</v>
      </c>
      <c r="F6" s="6" t="s">
        <v>131</v>
      </c>
      <c r="G6" s="6" t="s">
        <v>132</v>
      </c>
      <c r="H6" s="6" t="s">
        <v>133</v>
      </c>
      <c r="I6" s="6" t="s">
        <v>134</v>
      </c>
      <c r="J6" s="6" t="s">
        <v>142</v>
      </c>
      <c r="K6" s="6" t="s">
        <v>131</v>
      </c>
      <c r="L6" s="6" t="s">
        <v>136</v>
      </c>
      <c r="M6" s="7">
        <v>5000</v>
      </c>
      <c r="N6" s="7">
        <v>3.6560000000000001</v>
      </c>
      <c r="O6" s="7">
        <f>M6*N6</f>
        <v>18280</v>
      </c>
      <c r="P6" s="7">
        <v>0.53700000000000003</v>
      </c>
      <c r="Q6" s="7">
        <f>M6*P6</f>
        <v>2685</v>
      </c>
      <c r="R6" s="6" t="s">
        <v>87</v>
      </c>
      <c r="S6" s="6" t="s">
        <v>137</v>
      </c>
      <c r="T6" s="6" t="s">
        <v>65</v>
      </c>
      <c r="U6" s="6" t="str">
        <f>IF(ABS(Q6-M6*P6)&lt;0.01,"OK","CHECK")</f>
        <v>OK</v>
      </c>
      <c r="V6" s="6" t="s">
        <v>1</v>
      </c>
    </row>
    <row r="7" spans="1:22" ht="38.1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9"/>
      <c r="N7" s="9"/>
      <c r="O7" s="9"/>
      <c r="P7" s="9"/>
      <c r="Q7" s="9"/>
      <c r="R7" s="5"/>
      <c r="S7" s="5"/>
      <c r="T7" s="5"/>
      <c r="U7" s="5"/>
      <c r="V7" s="5"/>
    </row>
    <row r="8" spans="1:22" ht="38.1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9"/>
      <c r="N8" s="9"/>
      <c r="O8" s="9"/>
      <c r="P8" s="9"/>
      <c r="Q8" s="9"/>
      <c r="R8" s="5"/>
      <c r="S8" s="5"/>
      <c r="T8" s="5"/>
      <c r="U8" s="5"/>
      <c r="V8" s="5"/>
    </row>
    <row r="9" spans="1:22" ht="38.1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9"/>
      <c r="N9" s="9"/>
      <c r="O9" s="9"/>
      <c r="P9" s="9"/>
      <c r="Q9" s="9"/>
      <c r="R9" s="5"/>
      <c r="S9" s="5"/>
      <c r="T9" s="5"/>
      <c r="U9" s="5"/>
      <c r="V9" s="5"/>
    </row>
    <row r="10" spans="1:22" ht="38.1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9"/>
      <c r="N10" s="9"/>
      <c r="O10" s="9"/>
      <c r="P10" s="9"/>
      <c r="Q10" s="9"/>
      <c r="R10" s="5"/>
      <c r="S10" s="5"/>
      <c r="T10" s="5"/>
      <c r="U10" s="5"/>
      <c r="V10" s="5"/>
    </row>
    <row r="11" spans="1:22" ht="38.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9"/>
      <c r="N11" s="9"/>
      <c r="O11" s="9"/>
      <c r="P11" s="9"/>
      <c r="Q11" s="9"/>
      <c r="R11" s="5"/>
      <c r="S11" s="5"/>
      <c r="T11" s="5"/>
      <c r="U11" s="5"/>
      <c r="V11" s="5"/>
    </row>
    <row r="12" spans="1:22" ht="38.1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9"/>
      <c r="N12" s="9"/>
      <c r="O12" s="9"/>
      <c r="P12" s="9"/>
      <c r="Q12" s="9"/>
      <c r="R12" s="5"/>
      <c r="S12" s="5"/>
      <c r="T12" s="5"/>
      <c r="U12" s="5"/>
      <c r="V12" s="5"/>
    </row>
    <row r="13" spans="1:22" ht="38.1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9"/>
      <c r="N13" s="9"/>
      <c r="O13" s="9"/>
      <c r="P13" s="9"/>
      <c r="Q13" s="9"/>
      <c r="R13" s="5"/>
      <c r="S13" s="5"/>
      <c r="T13" s="5"/>
      <c r="U13" s="5"/>
      <c r="V13" s="5"/>
    </row>
    <row r="14" spans="1:22" ht="38.1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9"/>
      <c r="N14" s="9"/>
      <c r="O14" s="9"/>
      <c r="P14" s="9"/>
      <c r="Q14" s="9"/>
      <c r="R14" s="5"/>
      <c r="S14" s="5"/>
      <c r="T14" s="5"/>
      <c r="U14" s="5"/>
      <c r="V14" s="5"/>
    </row>
    <row r="15" spans="1:22" ht="38.1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9"/>
      <c r="N15" s="9"/>
      <c r="O15" s="9"/>
      <c r="P15" s="9"/>
      <c r="Q15" s="9"/>
      <c r="R15" s="5"/>
      <c r="S15" s="5"/>
      <c r="T15" s="5"/>
      <c r="U15" s="5"/>
      <c r="V15" s="5"/>
    </row>
    <row r="16" spans="1:22" ht="38.1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9"/>
      <c r="N16" s="9"/>
      <c r="O16" s="9"/>
      <c r="P16" s="9"/>
      <c r="Q16" s="9"/>
      <c r="R16" s="5"/>
      <c r="S16" s="5"/>
      <c r="T16" s="5"/>
      <c r="U16" s="5"/>
      <c r="V16" s="5"/>
    </row>
    <row r="17" spans="1:22" ht="38.1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9"/>
      <c r="N17" s="9"/>
      <c r="O17" s="9"/>
      <c r="P17" s="9"/>
      <c r="Q17" s="9"/>
      <c r="R17" s="5"/>
      <c r="S17" s="5"/>
      <c r="T17" s="5"/>
      <c r="U17" s="5"/>
      <c r="V17" s="5"/>
    </row>
    <row r="18" spans="1:22" ht="38.1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9"/>
      <c r="N18" s="9"/>
      <c r="O18" s="9"/>
      <c r="P18" s="9"/>
      <c r="Q18" s="9"/>
      <c r="R18" s="5"/>
      <c r="S18" s="5"/>
      <c r="T18" s="5"/>
      <c r="U18" s="5"/>
      <c r="V18" s="5"/>
    </row>
    <row r="19" spans="1:22" ht="38.1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9"/>
      <c r="N19" s="9"/>
      <c r="O19" s="9"/>
      <c r="P19" s="9"/>
      <c r="Q19" s="9"/>
      <c r="R19" s="5"/>
      <c r="S19" s="5"/>
      <c r="T19" s="5"/>
      <c r="U19" s="5"/>
      <c r="V19" s="5"/>
    </row>
    <row r="20" spans="1:22" ht="38.1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9"/>
      <c r="N20" s="9"/>
      <c r="O20" s="9"/>
      <c r="P20" s="9"/>
      <c r="Q20" s="9"/>
      <c r="R20" s="5"/>
      <c r="S20" s="5"/>
      <c r="T20" s="5"/>
      <c r="U20" s="5"/>
      <c r="V20" s="5"/>
    </row>
    <row r="21" spans="1:2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"/>
  <sheetViews>
    <sheetView showGridLines="0" topLeftCell="A2" workbookViewId="0">
      <selection activeCell="F7" sqref="F7"/>
    </sheetView>
  </sheetViews>
  <sheetFormatPr defaultColWidth="9" defaultRowHeight="13.5"/>
  <cols>
    <col min="1" max="1" width="12" customWidth="1"/>
    <col min="2" max="3" width="18" customWidth="1"/>
    <col min="4" max="4" width="26" customWidth="1"/>
    <col min="5" max="5" width="42" customWidth="1"/>
    <col min="6" max="10" width="16" customWidth="1"/>
    <col min="11" max="11" width="18" customWidth="1"/>
    <col min="12" max="12" width="14" customWidth="1"/>
    <col min="13" max="13" width="12" customWidth="1"/>
    <col min="14" max="17" width="16" customWidth="1"/>
    <col min="18" max="19" width="14" customWidth="1"/>
    <col min="20" max="20" width="22" customWidth="1"/>
    <col min="21" max="21" width="18" customWidth="1"/>
    <col min="22" max="22" width="28" customWidth="1"/>
  </cols>
  <sheetData>
    <row r="1" spans="1:22" ht="121.5">
      <c r="A1" s="3" t="s">
        <v>143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5"/>
      <c r="S1" s="5"/>
      <c r="T1" s="5"/>
      <c r="U1" s="5"/>
      <c r="V1" s="5"/>
    </row>
    <row r="2" spans="1:22" ht="148.5">
      <c r="A2" s="5" t="s">
        <v>106</v>
      </c>
      <c r="B2" s="5" t="s">
        <v>107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/>
      <c r="S2" s="5"/>
      <c r="T2" s="5"/>
      <c r="U2" s="5"/>
      <c r="V2" s="5"/>
    </row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42" customHeight="1">
      <c r="A4" s="4" t="s">
        <v>108</v>
      </c>
      <c r="B4" s="4" t="s">
        <v>110</v>
      </c>
      <c r="C4" s="4" t="s">
        <v>111</v>
      </c>
      <c r="D4" s="4" t="s">
        <v>112</v>
      </c>
      <c r="E4" s="4" t="s">
        <v>144</v>
      </c>
      <c r="F4" s="4" t="s">
        <v>119</v>
      </c>
      <c r="G4" s="4" t="s">
        <v>120</v>
      </c>
      <c r="H4" s="4" t="s">
        <v>121</v>
      </c>
      <c r="I4" s="4" t="s">
        <v>122</v>
      </c>
      <c r="J4" s="4" t="s">
        <v>123</v>
      </c>
      <c r="K4" s="4" t="s">
        <v>124</v>
      </c>
      <c r="L4" s="4" t="s">
        <v>86</v>
      </c>
      <c r="M4" s="4" t="s">
        <v>68</v>
      </c>
      <c r="N4" s="4" t="s">
        <v>64</v>
      </c>
      <c r="O4" s="4" t="s">
        <v>145</v>
      </c>
      <c r="P4" s="4" t="s">
        <v>126</v>
      </c>
      <c r="Q4" s="4" t="s">
        <v>127</v>
      </c>
      <c r="R4" s="5"/>
      <c r="S4" s="5"/>
      <c r="T4" s="5"/>
      <c r="U4" s="5"/>
      <c r="V4" s="5"/>
    </row>
    <row r="5" spans="1:22" ht="38.1" customHeight="1">
      <c r="A5" s="6">
        <v>1</v>
      </c>
      <c r="B5" s="11" t="s">
        <v>128</v>
      </c>
      <c r="C5" s="6" t="s">
        <v>129</v>
      </c>
      <c r="D5" s="12" t="s">
        <v>130</v>
      </c>
      <c r="E5" s="14" t="s">
        <v>146</v>
      </c>
      <c r="F5" s="6" t="s">
        <v>147</v>
      </c>
      <c r="G5" s="7">
        <v>10000</v>
      </c>
      <c r="H5" s="7">
        <v>3.6560000000000001</v>
      </c>
      <c r="I5" s="7">
        <f>G5*H5</f>
        <v>36560</v>
      </c>
      <c r="J5" s="7">
        <v>0.53700000000000003</v>
      </c>
      <c r="K5" s="7">
        <f>G5*J5</f>
        <v>5370</v>
      </c>
      <c r="L5" s="6" t="s">
        <v>87</v>
      </c>
      <c r="M5" s="5" t="s">
        <v>69</v>
      </c>
      <c r="N5" s="5" t="s">
        <v>65</v>
      </c>
      <c r="O5" s="6">
        <v>46137</v>
      </c>
      <c r="P5" s="6" t="str">
        <f>IF(ABS(K5-G5*J5)&lt;0.01,"OK","CHECK")</f>
        <v>OK</v>
      </c>
      <c r="Q5" s="6" t="s">
        <v>1</v>
      </c>
      <c r="R5" s="5"/>
      <c r="S5" s="5"/>
      <c r="T5" s="5"/>
      <c r="U5" s="5"/>
      <c r="V5" s="5"/>
    </row>
    <row r="6" spans="1:22" ht="38.1" customHeight="1">
      <c r="A6" s="6">
        <v>2</v>
      </c>
      <c r="B6" s="11" t="s">
        <v>139</v>
      </c>
      <c r="C6" s="6" t="s">
        <v>140</v>
      </c>
      <c r="D6" s="12" t="s">
        <v>141</v>
      </c>
      <c r="E6" s="14" t="s">
        <v>146</v>
      </c>
      <c r="F6" s="6" t="s">
        <v>147</v>
      </c>
      <c r="G6" s="7">
        <v>5000</v>
      </c>
      <c r="H6" s="7">
        <v>3.6560000000000001</v>
      </c>
      <c r="I6" s="7">
        <f>G6*H6</f>
        <v>18280</v>
      </c>
      <c r="J6" s="7">
        <v>0.53700000000000003</v>
      </c>
      <c r="K6" s="7">
        <f>G6*J6</f>
        <v>2685</v>
      </c>
      <c r="L6" s="6" t="s">
        <v>87</v>
      </c>
      <c r="M6" s="5" t="s">
        <v>69</v>
      </c>
      <c r="N6" s="5" t="s">
        <v>65</v>
      </c>
      <c r="O6" s="6">
        <v>46137</v>
      </c>
      <c r="P6" s="6" t="str">
        <f>IF(ABS(K6-G6*J6)&lt;0.01,"OK","CHECK")</f>
        <v>OK</v>
      </c>
      <c r="Q6" s="6" t="s">
        <v>1</v>
      </c>
      <c r="R6" s="5"/>
      <c r="S6" s="5"/>
      <c r="T6" s="5"/>
      <c r="U6" s="5"/>
      <c r="V6" s="5"/>
    </row>
    <row r="7" spans="1:22" ht="38.1" customHeight="1">
      <c r="A7" s="5"/>
      <c r="B7" s="5"/>
      <c r="C7" s="5"/>
      <c r="D7" s="5"/>
      <c r="E7" s="5"/>
      <c r="F7" s="5"/>
      <c r="G7" s="9"/>
      <c r="H7" s="9"/>
      <c r="I7" s="9"/>
      <c r="J7" s="9"/>
      <c r="K7" s="9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38.1" customHeight="1">
      <c r="A8" s="5"/>
      <c r="B8" s="5"/>
      <c r="C8" s="5"/>
      <c r="D8" s="5"/>
      <c r="E8" s="5"/>
      <c r="F8" s="5"/>
      <c r="G8" s="9"/>
      <c r="H8" s="9"/>
      <c r="I8" s="9"/>
      <c r="J8" s="9"/>
      <c r="K8" s="9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38.1" customHeight="1">
      <c r="A9" s="5"/>
      <c r="B9" s="5"/>
      <c r="C9" s="5"/>
      <c r="D9" s="5"/>
      <c r="E9" s="5"/>
      <c r="F9" s="5"/>
      <c r="G9" s="9"/>
      <c r="H9" s="9"/>
      <c r="I9" s="9"/>
      <c r="J9" s="9"/>
      <c r="K9" s="9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38.1" customHeight="1">
      <c r="A10" s="5"/>
      <c r="B10" s="5"/>
      <c r="C10" s="5"/>
      <c r="D10" s="5"/>
      <c r="E10" s="5"/>
      <c r="F10" s="5"/>
      <c r="G10" s="9"/>
      <c r="H10" s="9"/>
      <c r="I10" s="9"/>
      <c r="J10" s="9"/>
      <c r="K10" s="9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38.1" customHeight="1">
      <c r="A11" s="5"/>
      <c r="B11" s="5"/>
      <c r="C11" s="5"/>
      <c r="D11" s="5"/>
      <c r="E11" s="5"/>
      <c r="F11" s="5"/>
      <c r="G11" s="9"/>
      <c r="H11" s="9"/>
      <c r="I11" s="9"/>
      <c r="J11" s="9"/>
      <c r="K11" s="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38.1" customHeight="1">
      <c r="A12" s="5"/>
      <c r="B12" s="5"/>
      <c r="C12" s="5"/>
      <c r="D12" s="5"/>
      <c r="E12" s="5"/>
      <c r="F12" s="5"/>
      <c r="G12" s="9"/>
      <c r="H12" s="9"/>
      <c r="I12" s="9"/>
      <c r="J12" s="9"/>
      <c r="K12" s="9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38.1" customHeight="1">
      <c r="A13" s="5"/>
      <c r="B13" s="5"/>
      <c r="C13" s="5"/>
      <c r="D13" s="5"/>
      <c r="E13" s="5"/>
      <c r="F13" s="5"/>
      <c r="G13" s="9"/>
      <c r="H13" s="9"/>
      <c r="I13" s="9"/>
      <c r="J13" s="9"/>
      <c r="K13" s="9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38.1" customHeight="1">
      <c r="A14" s="5"/>
      <c r="B14" s="5"/>
      <c r="C14" s="5"/>
      <c r="D14" s="5"/>
      <c r="E14" s="5"/>
      <c r="F14" s="5"/>
      <c r="G14" s="9"/>
      <c r="H14" s="9"/>
      <c r="I14" s="9"/>
      <c r="J14" s="9"/>
      <c r="K14" s="9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38.1" customHeight="1">
      <c r="A15" s="5"/>
      <c r="B15" s="5"/>
      <c r="C15" s="5"/>
      <c r="D15" s="5"/>
      <c r="E15" s="5"/>
      <c r="F15" s="5"/>
      <c r="G15" s="9"/>
      <c r="H15" s="9"/>
      <c r="I15" s="9"/>
      <c r="J15" s="9"/>
      <c r="K15" s="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38.1" customHeight="1">
      <c r="A16" s="5"/>
      <c r="B16" s="5"/>
      <c r="C16" s="5"/>
      <c r="D16" s="5"/>
      <c r="E16" s="5"/>
      <c r="F16" s="5"/>
      <c r="G16" s="9"/>
      <c r="H16" s="9"/>
      <c r="I16" s="9"/>
      <c r="J16" s="9"/>
      <c r="K16" s="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38.1" customHeight="1">
      <c r="A17" s="5"/>
      <c r="B17" s="5"/>
      <c r="C17" s="5"/>
      <c r="D17" s="5"/>
      <c r="E17" s="5"/>
      <c r="F17" s="5"/>
      <c r="G17" s="9"/>
      <c r="H17" s="9"/>
      <c r="I17" s="9"/>
      <c r="J17" s="9"/>
      <c r="K17" s="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38.1" customHeight="1">
      <c r="A18" s="5"/>
      <c r="B18" s="5"/>
      <c r="C18" s="5"/>
      <c r="D18" s="5"/>
      <c r="E18" s="5"/>
      <c r="F18" s="5"/>
      <c r="G18" s="9"/>
      <c r="H18" s="9"/>
      <c r="I18" s="9"/>
      <c r="J18" s="9"/>
      <c r="K18" s="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38.1" customHeight="1">
      <c r="A19" s="5"/>
      <c r="B19" s="5"/>
      <c r="C19" s="5"/>
      <c r="D19" s="5"/>
      <c r="E19" s="5"/>
      <c r="F19" s="5"/>
      <c r="G19" s="9"/>
      <c r="H19" s="9"/>
      <c r="I19" s="9"/>
      <c r="J19" s="9"/>
      <c r="K19" s="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38.1" customHeight="1">
      <c r="A20" s="5"/>
      <c r="B20" s="5"/>
      <c r="C20" s="5"/>
      <c r="D20" s="5"/>
      <c r="E20" s="5"/>
      <c r="F20" s="5"/>
      <c r="G20" s="9"/>
      <c r="H20" s="9"/>
      <c r="I20" s="9"/>
      <c r="J20" s="9"/>
      <c r="K20" s="9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0"/>
  <sheetViews>
    <sheetView showGridLines="0" topLeftCell="E1" workbookViewId="0">
      <selection activeCell="N5" sqref="N5"/>
    </sheetView>
  </sheetViews>
  <sheetFormatPr defaultColWidth="9" defaultRowHeight="13.5"/>
  <cols>
    <col min="1" max="1" width="12" customWidth="1"/>
    <col min="2" max="3" width="18" customWidth="1"/>
    <col min="4" max="4" width="26" customWidth="1"/>
    <col min="5" max="5" width="42" customWidth="1"/>
    <col min="6" max="10" width="16" customWidth="1"/>
    <col min="11" max="11" width="18" customWidth="1"/>
    <col min="12" max="12" width="14" customWidth="1"/>
    <col min="13" max="13" width="12" customWidth="1"/>
    <col min="14" max="17" width="16" customWidth="1"/>
    <col min="18" max="19" width="14" customWidth="1"/>
    <col min="20" max="20" width="22" customWidth="1"/>
    <col min="21" max="21" width="18" customWidth="1"/>
    <col min="22" max="22" width="28" customWidth="1"/>
  </cols>
  <sheetData>
    <row r="1" spans="1:22" ht="81">
      <c r="A1" s="3" t="s">
        <v>148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5"/>
      <c r="Q1" s="5"/>
      <c r="R1" s="5"/>
      <c r="S1" s="5"/>
      <c r="T1" s="5"/>
      <c r="U1" s="5"/>
      <c r="V1" s="5"/>
    </row>
    <row r="2" spans="1:22" ht="108">
      <c r="A2" s="5" t="s">
        <v>106</v>
      </c>
      <c r="B2" s="5" t="s">
        <v>149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/>
      <c r="Q2" s="5"/>
      <c r="R2" s="5"/>
      <c r="S2" s="5"/>
      <c r="T2" s="5"/>
      <c r="U2" s="5"/>
      <c r="V2" s="5"/>
    </row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42" customHeight="1">
      <c r="A4" s="4" t="s">
        <v>108</v>
      </c>
      <c r="B4" s="4" t="s">
        <v>110</v>
      </c>
      <c r="C4" s="4" t="s">
        <v>112</v>
      </c>
      <c r="D4" s="4" t="s">
        <v>119</v>
      </c>
      <c r="E4" s="4" t="s">
        <v>120</v>
      </c>
      <c r="F4" s="4" t="s">
        <v>150</v>
      </c>
      <c r="G4" s="4" t="s">
        <v>151</v>
      </c>
      <c r="H4" s="4" t="s">
        <v>152</v>
      </c>
      <c r="I4" s="4" t="s">
        <v>153</v>
      </c>
      <c r="J4" s="4" t="s">
        <v>154</v>
      </c>
      <c r="K4" s="4" t="s">
        <v>155</v>
      </c>
      <c r="L4" s="4" t="s">
        <v>156</v>
      </c>
      <c r="M4" s="4" t="s">
        <v>157</v>
      </c>
      <c r="N4" s="4" t="s">
        <v>64</v>
      </c>
      <c r="O4" s="4" t="s">
        <v>127</v>
      </c>
      <c r="P4" s="5"/>
      <c r="Q4" s="5"/>
      <c r="R4" s="5"/>
      <c r="S4" s="5"/>
      <c r="T4" s="5"/>
      <c r="U4" s="5"/>
      <c r="V4" s="5"/>
    </row>
    <row r="5" spans="1:22" ht="38.1" customHeight="1">
      <c r="A5" s="6">
        <v>1</v>
      </c>
      <c r="B5" s="11" t="s">
        <v>128</v>
      </c>
      <c r="C5" s="6" t="s">
        <v>129</v>
      </c>
      <c r="D5" s="12" t="s">
        <v>147</v>
      </c>
      <c r="E5" s="7">
        <v>10000</v>
      </c>
      <c r="F5" s="7" t="s">
        <v>158</v>
      </c>
      <c r="G5" s="7">
        <v>10</v>
      </c>
      <c r="H5" s="7">
        <v>30</v>
      </c>
      <c r="I5" s="7">
        <v>28</v>
      </c>
      <c r="J5" s="7">
        <v>0.46</v>
      </c>
      <c r="K5" s="6" t="s">
        <v>159</v>
      </c>
      <c r="L5" s="6" t="s">
        <v>160</v>
      </c>
      <c r="M5" s="5" t="s">
        <v>65</v>
      </c>
      <c r="N5" s="5" t="s">
        <v>65</v>
      </c>
      <c r="O5" s="6" t="s">
        <v>1</v>
      </c>
      <c r="P5" s="5"/>
      <c r="Q5" s="5"/>
      <c r="R5" s="5"/>
      <c r="S5" s="5"/>
      <c r="T5" s="5"/>
      <c r="U5" s="5"/>
      <c r="V5" s="5"/>
    </row>
    <row r="6" spans="1:22" ht="38.1" customHeight="1">
      <c r="A6" s="6">
        <v>2</v>
      </c>
      <c r="B6" s="11" t="s">
        <v>139</v>
      </c>
      <c r="C6" s="6" t="s">
        <v>140</v>
      </c>
      <c r="D6" s="12" t="s">
        <v>147</v>
      </c>
      <c r="E6" s="7">
        <v>5000</v>
      </c>
      <c r="F6" s="7" t="s">
        <v>158</v>
      </c>
      <c r="G6" s="7">
        <v>5</v>
      </c>
      <c r="H6" s="7">
        <v>30</v>
      </c>
      <c r="I6" s="7">
        <v>28</v>
      </c>
      <c r="J6" s="7">
        <v>0.23</v>
      </c>
      <c r="K6" s="6" t="s">
        <v>159</v>
      </c>
      <c r="L6" s="6" t="s">
        <v>160</v>
      </c>
      <c r="M6" s="5" t="s">
        <v>65</v>
      </c>
      <c r="N6" s="5" t="s">
        <v>65</v>
      </c>
      <c r="O6" s="6" t="s">
        <v>1</v>
      </c>
      <c r="P6" s="5"/>
      <c r="Q6" s="5"/>
      <c r="R6" s="5"/>
      <c r="S6" s="5"/>
      <c r="T6" s="5"/>
      <c r="U6" s="5"/>
      <c r="V6" s="5"/>
    </row>
    <row r="7" spans="1:22" ht="38.1" customHeight="1">
      <c r="A7" s="5"/>
      <c r="B7" s="5"/>
      <c r="C7" s="5"/>
      <c r="D7" s="5"/>
      <c r="E7" s="9"/>
      <c r="F7" s="9"/>
      <c r="G7" s="9"/>
      <c r="H7" s="9"/>
      <c r="I7" s="9"/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38.1" customHeight="1">
      <c r="A8" s="5"/>
      <c r="B8" s="5"/>
      <c r="C8" s="5"/>
      <c r="D8" s="5"/>
      <c r="E8" s="9"/>
      <c r="F8" s="9"/>
      <c r="G8" s="9"/>
      <c r="H8" s="9"/>
      <c r="I8" s="9"/>
      <c r="J8" s="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38.1" customHeight="1">
      <c r="A9" s="5"/>
      <c r="B9" s="5"/>
      <c r="C9" s="5"/>
      <c r="D9" s="5"/>
      <c r="E9" s="9"/>
      <c r="F9" s="9"/>
      <c r="G9" s="9"/>
      <c r="H9" s="9"/>
      <c r="I9" s="9"/>
      <c r="J9" s="9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38.1" customHeight="1">
      <c r="A10" s="5"/>
      <c r="B10" s="5"/>
      <c r="C10" s="5"/>
      <c r="D10" s="5"/>
      <c r="E10" s="9"/>
      <c r="F10" s="9"/>
      <c r="G10" s="9"/>
      <c r="H10" s="9"/>
      <c r="I10" s="9"/>
      <c r="J10" s="9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38.1" customHeight="1">
      <c r="A11" s="5"/>
      <c r="B11" s="5"/>
      <c r="C11" s="5"/>
      <c r="D11" s="5"/>
      <c r="E11" s="9"/>
      <c r="F11" s="9"/>
      <c r="G11" s="9"/>
      <c r="H11" s="9"/>
      <c r="I11" s="9"/>
      <c r="J11" s="9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38.1" customHeight="1">
      <c r="A12" s="5"/>
      <c r="B12" s="5"/>
      <c r="C12" s="5"/>
      <c r="D12" s="5"/>
      <c r="E12" s="9"/>
      <c r="F12" s="9"/>
      <c r="G12" s="9"/>
      <c r="H12" s="9"/>
      <c r="I12" s="9"/>
      <c r="J12" s="9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38.1" customHeight="1">
      <c r="A13" s="5"/>
      <c r="B13" s="5"/>
      <c r="C13" s="5"/>
      <c r="D13" s="5"/>
      <c r="E13" s="9"/>
      <c r="F13" s="9"/>
      <c r="G13" s="9"/>
      <c r="H13" s="9"/>
      <c r="I13" s="9"/>
      <c r="J13" s="9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38.1" customHeight="1">
      <c r="A14" s="5"/>
      <c r="B14" s="5"/>
      <c r="C14" s="5"/>
      <c r="D14" s="5"/>
      <c r="E14" s="9"/>
      <c r="F14" s="9"/>
      <c r="G14" s="9"/>
      <c r="H14" s="9"/>
      <c r="I14" s="9"/>
      <c r="J14" s="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38.1" customHeight="1">
      <c r="A15" s="5"/>
      <c r="B15" s="5"/>
      <c r="C15" s="5"/>
      <c r="D15" s="5"/>
      <c r="E15" s="9"/>
      <c r="F15" s="9"/>
      <c r="G15" s="9"/>
      <c r="H15" s="9"/>
      <c r="I15" s="9"/>
      <c r="J15" s="9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38.1" customHeight="1">
      <c r="A16" s="5"/>
      <c r="B16" s="5"/>
      <c r="C16" s="5"/>
      <c r="D16" s="5"/>
      <c r="E16" s="9"/>
      <c r="F16" s="9"/>
      <c r="G16" s="9"/>
      <c r="H16" s="9"/>
      <c r="I16" s="9"/>
      <c r="J16" s="9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38.1" customHeight="1">
      <c r="A17" s="5"/>
      <c r="B17" s="5"/>
      <c r="C17" s="5"/>
      <c r="D17" s="5"/>
      <c r="E17" s="9"/>
      <c r="F17" s="9"/>
      <c r="G17" s="9"/>
      <c r="H17" s="9"/>
      <c r="I17" s="9"/>
      <c r="J17" s="9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38.1" customHeight="1">
      <c r="A18" s="5"/>
      <c r="B18" s="5"/>
      <c r="C18" s="5"/>
      <c r="D18" s="5"/>
      <c r="E18" s="9"/>
      <c r="F18" s="9"/>
      <c r="G18" s="9"/>
      <c r="H18" s="9"/>
      <c r="I18" s="9"/>
      <c r="J18" s="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38.1" customHeight="1">
      <c r="A19" s="5"/>
      <c r="B19" s="5"/>
      <c r="C19" s="5"/>
      <c r="D19" s="5"/>
      <c r="E19" s="9"/>
      <c r="F19" s="9"/>
      <c r="G19" s="9"/>
      <c r="H19" s="9"/>
      <c r="I19" s="9"/>
      <c r="J19" s="9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38.1" customHeight="1">
      <c r="A20" s="5"/>
      <c r="B20" s="5"/>
      <c r="C20" s="5"/>
      <c r="D20" s="5"/>
      <c r="E20" s="9"/>
      <c r="F20" s="9"/>
      <c r="G20" s="9"/>
      <c r="H20" s="9"/>
      <c r="I20" s="9"/>
      <c r="J20" s="9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"/>
  <sheetViews>
    <sheetView showGridLines="0" workbookViewId="0">
      <selection activeCell="C8" sqref="C8"/>
    </sheetView>
  </sheetViews>
  <sheetFormatPr defaultColWidth="9" defaultRowHeight="13.5"/>
  <cols>
    <col min="1" max="1" width="12" customWidth="1"/>
    <col min="2" max="3" width="18" customWidth="1"/>
    <col min="4" max="4" width="26" customWidth="1"/>
    <col min="5" max="5" width="42" customWidth="1"/>
    <col min="6" max="10" width="16" customWidth="1"/>
    <col min="11" max="11" width="18" customWidth="1"/>
    <col min="12" max="12" width="14" customWidth="1"/>
    <col min="13" max="13" width="12" customWidth="1"/>
    <col min="14" max="17" width="16" customWidth="1"/>
    <col min="18" max="19" width="14" customWidth="1"/>
    <col min="20" max="20" width="22" customWidth="1"/>
    <col min="21" max="21" width="18" customWidth="1"/>
    <col min="22" max="22" width="28" customWidth="1"/>
  </cols>
  <sheetData>
    <row r="1" spans="1:22" ht="182.25">
      <c r="A1" s="3" t="s">
        <v>161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08">
      <c r="A2" s="5" t="s">
        <v>106</v>
      </c>
      <c r="B2" s="5" t="s">
        <v>162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42" customHeight="1">
      <c r="A4" s="4" t="s">
        <v>163</v>
      </c>
      <c r="B4" s="4" t="s">
        <v>164</v>
      </c>
      <c r="C4" s="4" t="s">
        <v>165</v>
      </c>
      <c r="D4" s="4" t="s">
        <v>166</v>
      </c>
      <c r="E4" s="4" t="s">
        <v>86</v>
      </c>
      <c r="F4" s="4" t="s">
        <v>167</v>
      </c>
      <c r="G4" s="4" t="s">
        <v>168</v>
      </c>
      <c r="H4" s="4" t="s">
        <v>169</v>
      </c>
      <c r="I4" s="4" t="s">
        <v>170</v>
      </c>
      <c r="J4" s="4" t="s">
        <v>171</v>
      </c>
      <c r="K4" s="4" t="s">
        <v>127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38.1" customHeight="1">
      <c r="A5" s="6">
        <v>1</v>
      </c>
      <c r="B5" s="6" t="s">
        <v>172</v>
      </c>
      <c r="C5" s="6" t="s">
        <v>173</v>
      </c>
      <c r="D5" s="7">
        <v>9379.2000000000007</v>
      </c>
      <c r="E5" s="6" t="s">
        <v>87</v>
      </c>
      <c r="F5" s="6" t="s">
        <v>174</v>
      </c>
      <c r="G5" s="6" t="s">
        <v>175</v>
      </c>
      <c r="H5" s="8">
        <v>46137</v>
      </c>
      <c r="I5" s="5" t="s">
        <v>65</v>
      </c>
      <c r="J5" s="6" t="s">
        <v>176</v>
      </c>
      <c r="K5" s="6" t="s">
        <v>177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38.1" customHeight="1">
      <c r="A6" s="6">
        <v>2</v>
      </c>
      <c r="B6" s="6" t="s">
        <v>178</v>
      </c>
      <c r="C6" s="6" t="s">
        <v>179</v>
      </c>
      <c r="D6" s="7">
        <v>1000</v>
      </c>
      <c r="E6" s="6" t="s">
        <v>87</v>
      </c>
      <c r="F6" s="6" t="s">
        <v>174</v>
      </c>
      <c r="G6" s="6" t="s">
        <v>180</v>
      </c>
      <c r="H6" s="8">
        <v>46137</v>
      </c>
      <c r="I6" s="5" t="s">
        <v>65</v>
      </c>
      <c r="J6" s="6" t="s">
        <v>176</v>
      </c>
      <c r="K6" s="6" t="s">
        <v>181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38.1" customHeight="1">
      <c r="A7" s="6">
        <v>3</v>
      </c>
      <c r="B7" s="6" t="s">
        <v>182</v>
      </c>
      <c r="C7" s="6" t="s">
        <v>183</v>
      </c>
      <c r="D7" s="7">
        <v>12000</v>
      </c>
      <c r="E7" s="6" t="s">
        <v>184</v>
      </c>
      <c r="F7" s="6" t="s">
        <v>174</v>
      </c>
      <c r="G7" s="6" t="s">
        <v>1</v>
      </c>
      <c r="H7" s="8">
        <v>46137</v>
      </c>
      <c r="I7" s="5" t="s">
        <v>65</v>
      </c>
      <c r="J7" s="6" t="s">
        <v>176</v>
      </c>
      <c r="K7" s="6" t="s">
        <v>185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38.1" customHeight="1">
      <c r="A8" s="5"/>
      <c r="B8" s="5"/>
      <c r="C8" s="5"/>
      <c r="D8" s="9"/>
      <c r="E8" s="5"/>
      <c r="F8" s="5"/>
      <c r="G8" s="5"/>
      <c r="H8" s="10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38.1" customHeight="1">
      <c r="A9" s="5"/>
      <c r="B9" s="5"/>
      <c r="C9" s="5"/>
      <c r="D9" s="9"/>
      <c r="E9" s="5"/>
      <c r="F9" s="5"/>
      <c r="G9" s="5"/>
      <c r="H9" s="10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38.1" customHeight="1">
      <c r="A10" s="5"/>
      <c r="B10" s="5"/>
      <c r="C10" s="5"/>
      <c r="D10" s="9"/>
      <c r="E10" s="5"/>
      <c r="F10" s="5"/>
      <c r="G10" s="5"/>
      <c r="H10" s="10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38.1" customHeight="1">
      <c r="A11" s="5"/>
      <c r="B11" s="5"/>
      <c r="C11" s="5"/>
      <c r="D11" s="9"/>
      <c r="E11" s="5"/>
      <c r="F11" s="5"/>
      <c r="G11" s="5"/>
      <c r="H11" s="10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38.1" customHeight="1">
      <c r="A12" s="5"/>
      <c r="B12" s="5"/>
      <c r="C12" s="5"/>
      <c r="D12" s="9"/>
      <c r="E12" s="5"/>
      <c r="F12" s="5"/>
      <c r="G12" s="5"/>
      <c r="H12" s="10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38.1" customHeight="1">
      <c r="A13" s="5"/>
      <c r="B13" s="5"/>
      <c r="C13" s="5"/>
      <c r="D13" s="9"/>
      <c r="E13" s="5"/>
      <c r="F13" s="5"/>
      <c r="G13" s="5"/>
      <c r="H13" s="1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38.1" customHeight="1">
      <c r="A14" s="5"/>
      <c r="B14" s="5"/>
      <c r="C14" s="5"/>
      <c r="D14" s="9"/>
      <c r="E14" s="5"/>
      <c r="F14" s="5"/>
      <c r="G14" s="5"/>
      <c r="H14" s="1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38.1" customHeight="1">
      <c r="A15" s="5"/>
      <c r="B15" s="5"/>
      <c r="C15" s="5"/>
      <c r="D15" s="9"/>
      <c r="E15" s="5"/>
      <c r="F15" s="5"/>
      <c r="G15" s="5"/>
      <c r="H15" s="1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38.1" customHeight="1">
      <c r="A16" s="5"/>
      <c r="B16" s="5"/>
      <c r="C16" s="5"/>
      <c r="D16" s="9"/>
      <c r="E16" s="5"/>
      <c r="F16" s="5"/>
      <c r="G16" s="5"/>
      <c r="H16" s="1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38.1" customHeight="1">
      <c r="A17" s="5"/>
      <c r="B17" s="5"/>
      <c r="C17" s="5"/>
      <c r="D17" s="9"/>
      <c r="E17" s="5"/>
      <c r="F17" s="5"/>
      <c r="G17" s="5"/>
      <c r="H17" s="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38.1" customHeight="1">
      <c r="A18" s="5"/>
      <c r="B18" s="5"/>
      <c r="C18" s="5"/>
      <c r="D18" s="9"/>
      <c r="E18" s="5"/>
      <c r="F18" s="5"/>
      <c r="G18" s="5"/>
      <c r="H18" s="1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38.1" customHeight="1">
      <c r="A19" s="5"/>
      <c r="B19" s="5"/>
      <c r="C19" s="5"/>
      <c r="D19" s="9"/>
      <c r="E19" s="5"/>
      <c r="F19" s="5"/>
      <c r="G19" s="5"/>
      <c r="H19" s="1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38.1" customHeight="1">
      <c r="A20" s="5"/>
      <c r="B20" s="5"/>
      <c r="C20" s="5"/>
      <c r="D20" s="9"/>
      <c r="E20" s="5"/>
      <c r="F20" s="5"/>
      <c r="G20" s="5"/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"/>
  <sheetViews>
    <sheetView showGridLines="0" topLeftCell="A2" workbookViewId="0">
      <selection activeCell="H8" sqref="H8"/>
    </sheetView>
  </sheetViews>
  <sheetFormatPr defaultColWidth="9" defaultRowHeight="13.5"/>
  <cols>
    <col min="1" max="1" width="12" customWidth="1"/>
    <col min="2" max="3" width="18" customWidth="1"/>
    <col min="4" max="4" width="26" customWidth="1"/>
    <col min="5" max="5" width="42" customWidth="1"/>
    <col min="6" max="10" width="16" customWidth="1"/>
    <col min="11" max="11" width="18" customWidth="1"/>
    <col min="12" max="12" width="14" customWidth="1"/>
    <col min="13" max="13" width="12" customWidth="1"/>
    <col min="14" max="17" width="16" customWidth="1"/>
    <col min="18" max="19" width="14" customWidth="1"/>
    <col min="20" max="20" width="22" customWidth="1"/>
    <col min="21" max="21" width="18" customWidth="1"/>
    <col min="22" max="22" width="28" customWidth="1"/>
  </cols>
  <sheetData>
    <row r="1" spans="1:22" ht="81">
      <c r="A1" s="3" t="s">
        <v>186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35">
      <c r="A2" s="5" t="s">
        <v>106</v>
      </c>
      <c r="B2" s="5" t="s">
        <v>187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42" customHeight="1">
      <c r="A4" s="4" t="s">
        <v>188</v>
      </c>
      <c r="B4" s="4" t="s">
        <v>189</v>
      </c>
      <c r="C4" s="4" t="s">
        <v>190</v>
      </c>
      <c r="D4" s="4" t="s">
        <v>191</v>
      </c>
      <c r="E4" s="4" t="s">
        <v>86</v>
      </c>
      <c r="F4" s="4" t="s">
        <v>192</v>
      </c>
      <c r="G4" s="4" t="s">
        <v>193</v>
      </c>
      <c r="H4" s="4" t="s">
        <v>194</v>
      </c>
      <c r="I4" s="4" t="s">
        <v>195</v>
      </c>
      <c r="J4" s="4" t="s">
        <v>196</v>
      </c>
      <c r="K4" s="4" t="s">
        <v>197</v>
      </c>
      <c r="L4" s="4" t="s">
        <v>127</v>
      </c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38.1" customHeight="1">
      <c r="A5" s="6">
        <v>1</v>
      </c>
      <c r="B5" s="6" t="s">
        <v>198</v>
      </c>
      <c r="C5" s="7">
        <v>30</v>
      </c>
      <c r="D5" s="7">
        <v>11625</v>
      </c>
      <c r="E5" s="6" t="s">
        <v>87</v>
      </c>
      <c r="F5" s="6">
        <v>0</v>
      </c>
      <c r="G5" s="8">
        <v>46137</v>
      </c>
      <c r="H5" s="8" t="s">
        <v>199</v>
      </c>
      <c r="I5" s="8">
        <v>46137</v>
      </c>
      <c r="J5" s="5" t="s">
        <v>65</v>
      </c>
      <c r="K5" s="6" t="s">
        <v>200</v>
      </c>
      <c r="L5" s="6" t="s">
        <v>201</v>
      </c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38.1" customHeight="1">
      <c r="A6" s="6">
        <v>2</v>
      </c>
      <c r="B6" s="6" t="s">
        <v>202</v>
      </c>
      <c r="C6" s="7">
        <v>40</v>
      </c>
      <c r="D6" s="7">
        <v>15500</v>
      </c>
      <c r="E6" s="6" t="s">
        <v>87</v>
      </c>
      <c r="F6" s="6">
        <v>15</v>
      </c>
      <c r="G6" s="8">
        <v>46143</v>
      </c>
      <c r="H6" s="8" t="s">
        <v>176</v>
      </c>
      <c r="I6" s="8" t="s">
        <v>1</v>
      </c>
      <c r="J6" s="5" t="s">
        <v>65</v>
      </c>
      <c r="K6" s="6" t="s">
        <v>200</v>
      </c>
      <c r="L6" s="6" t="s">
        <v>203</v>
      </c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38.1" customHeight="1">
      <c r="A7" s="6">
        <v>3</v>
      </c>
      <c r="B7" s="6" t="s">
        <v>204</v>
      </c>
      <c r="C7" s="7">
        <v>30</v>
      </c>
      <c r="D7" s="7">
        <v>11625</v>
      </c>
      <c r="E7" s="6" t="s">
        <v>87</v>
      </c>
      <c r="F7" s="6">
        <v>45</v>
      </c>
      <c r="G7" s="8">
        <v>46174</v>
      </c>
      <c r="H7" s="8" t="s">
        <v>176</v>
      </c>
      <c r="I7" s="8" t="s">
        <v>1</v>
      </c>
      <c r="J7" s="5" t="s">
        <v>65</v>
      </c>
      <c r="K7" s="6" t="s">
        <v>200</v>
      </c>
      <c r="L7" s="6" t="s">
        <v>205</v>
      </c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38.1" customHeight="1">
      <c r="A8" s="5"/>
      <c r="B8" s="5"/>
      <c r="C8" s="9"/>
      <c r="D8" s="9"/>
      <c r="E8" s="5"/>
      <c r="F8" s="5"/>
      <c r="G8" s="10"/>
      <c r="H8" s="10"/>
      <c r="I8" s="10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38.1" customHeight="1">
      <c r="A9" s="5"/>
      <c r="B9" s="5"/>
      <c r="C9" s="9"/>
      <c r="D9" s="9"/>
      <c r="E9" s="5"/>
      <c r="F9" s="5"/>
      <c r="G9" s="10"/>
      <c r="H9" s="10"/>
      <c r="I9" s="10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38.1" customHeight="1">
      <c r="A10" s="5"/>
      <c r="B10" s="5"/>
      <c r="C10" s="9"/>
      <c r="D10" s="9"/>
      <c r="E10" s="5"/>
      <c r="F10" s="5"/>
      <c r="G10" s="10"/>
      <c r="H10" s="10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38.1" customHeight="1">
      <c r="A11" s="5"/>
      <c r="B11" s="5"/>
      <c r="C11" s="9"/>
      <c r="D11" s="9"/>
      <c r="E11" s="5"/>
      <c r="F11" s="5"/>
      <c r="G11" s="10"/>
      <c r="H11" s="10"/>
      <c r="I11" s="10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38.1" customHeight="1">
      <c r="A12" s="5"/>
      <c r="B12" s="5"/>
      <c r="C12" s="9"/>
      <c r="D12" s="9"/>
      <c r="E12" s="5"/>
      <c r="F12" s="5"/>
      <c r="G12" s="10"/>
      <c r="H12" s="10"/>
      <c r="I12" s="10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38.1" customHeight="1">
      <c r="A13" s="5"/>
      <c r="B13" s="5"/>
      <c r="C13" s="9"/>
      <c r="D13" s="9"/>
      <c r="E13" s="5"/>
      <c r="F13" s="5"/>
      <c r="G13" s="10"/>
      <c r="H13" s="10"/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38.1" customHeight="1">
      <c r="A14" s="5"/>
      <c r="B14" s="5"/>
      <c r="C14" s="9"/>
      <c r="D14" s="9"/>
      <c r="E14" s="5"/>
      <c r="F14" s="5"/>
      <c r="G14" s="10"/>
      <c r="H14" s="10"/>
      <c r="I14" s="10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38.1" customHeight="1">
      <c r="A15" s="5"/>
      <c r="B15" s="5"/>
      <c r="C15" s="9"/>
      <c r="D15" s="9"/>
      <c r="E15" s="5"/>
      <c r="F15" s="5"/>
      <c r="G15" s="10"/>
      <c r="H15" s="10"/>
      <c r="I15" s="10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38.1" customHeight="1">
      <c r="A16" s="5"/>
      <c r="B16" s="5"/>
      <c r="C16" s="9"/>
      <c r="D16" s="9"/>
      <c r="E16" s="5"/>
      <c r="F16" s="5"/>
      <c r="G16" s="10"/>
      <c r="H16" s="10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38.1" customHeight="1">
      <c r="A17" s="5"/>
      <c r="B17" s="5"/>
      <c r="C17" s="9"/>
      <c r="D17" s="9"/>
      <c r="E17" s="5"/>
      <c r="F17" s="5"/>
      <c r="G17" s="10"/>
      <c r="H17" s="10"/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38.1" customHeight="1">
      <c r="A18" s="5"/>
      <c r="B18" s="5"/>
      <c r="C18" s="9"/>
      <c r="D18" s="9"/>
      <c r="E18" s="5"/>
      <c r="F18" s="5"/>
      <c r="G18" s="10"/>
      <c r="H18" s="10"/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38.1" customHeight="1">
      <c r="A19" s="5"/>
      <c r="B19" s="5"/>
      <c r="C19" s="9"/>
      <c r="D19" s="9"/>
      <c r="E19" s="5"/>
      <c r="F19" s="5"/>
      <c r="G19" s="10"/>
      <c r="H19" s="10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38.1" customHeight="1">
      <c r="A20" s="5"/>
      <c r="B20" s="5"/>
      <c r="C20" s="9"/>
      <c r="D20" s="9"/>
      <c r="E20" s="5"/>
      <c r="F20" s="5"/>
      <c r="G20" s="10"/>
      <c r="H20" s="10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"/>
  <sheetViews>
    <sheetView showGridLines="0" workbookViewId="0"/>
  </sheetViews>
  <sheetFormatPr defaultColWidth="9" defaultRowHeight="13.5"/>
  <cols>
    <col min="1" max="1" width="20" customWidth="1"/>
    <col min="2" max="2" width="22" customWidth="1"/>
    <col min="3" max="8" width="20" customWidth="1"/>
  </cols>
  <sheetData>
    <row r="1" spans="1:8" ht="60.75">
      <c r="A1" s="3" t="s">
        <v>206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</row>
    <row r="2" spans="1:8">
      <c r="A2" s="4" t="s">
        <v>86</v>
      </c>
      <c r="B2" s="4" t="s">
        <v>87</v>
      </c>
      <c r="C2" s="4" t="s">
        <v>207</v>
      </c>
      <c r="D2" s="4" t="s">
        <v>208</v>
      </c>
      <c r="E2" s="4" t="s">
        <v>209</v>
      </c>
      <c r="F2" s="4" t="s">
        <v>184</v>
      </c>
      <c r="G2" s="4" t="s">
        <v>1</v>
      </c>
      <c r="H2" s="4" t="s">
        <v>1</v>
      </c>
    </row>
    <row r="3" spans="1:8">
      <c r="A3" s="5" t="s">
        <v>125</v>
      </c>
      <c r="B3" s="5" t="s">
        <v>72</v>
      </c>
      <c r="C3" s="5" t="s">
        <v>210</v>
      </c>
      <c r="D3" s="5" t="s">
        <v>137</v>
      </c>
      <c r="E3" s="5" t="s">
        <v>211</v>
      </c>
      <c r="F3" s="5" t="s">
        <v>1</v>
      </c>
      <c r="G3" s="5" t="s">
        <v>1</v>
      </c>
      <c r="H3" s="5" t="s">
        <v>1</v>
      </c>
    </row>
    <row r="4" spans="1:8">
      <c r="A4" s="5" t="s">
        <v>164</v>
      </c>
      <c r="B4" s="5" t="s">
        <v>210</v>
      </c>
      <c r="C4" s="5" t="s">
        <v>172</v>
      </c>
      <c r="D4" s="5" t="s">
        <v>178</v>
      </c>
      <c r="E4" s="5" t="s">
        <v>182</v>
      </c>
      <c r="F4" s="5" t="s">
        <v>212</v>
      </c>
      <c r="G4" s="5" t="s">
        <v>213</v>
      </c>
      <c r="H4" s="5" t="s">
        <v>214</v>
      </c>
    </row>
    <row r="5" spans="1:8">
      <c r="A5" s="5" t="s">
        <v>215</v>
      </c>
      <c r="B5" s="5" t="s">
        <v>216</v>
      </c>
      <c r="C5" s="5" t="s">
        <v>1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</row>
    <row r="6" spans="1:8">
      <c r="A6" s="5" t="s">
        <v>167</v>
      </c>
      <c r="B6" s="5" t="s">
        <v>217</v>
      </c>
      <c r="C6" s="5" t="s">
        <v>174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</row>
    <row r="7" spans="1:8">
      <c r="A7" s="5" t="s">
        <v>189</v>
      </c>
      <c r="B7" s="5" t="s">
        <v>198</v>
      </c>
      <c r="C7" s="5" t="s">
        <v>202</v>
      </c>
      <c r="D7" s="5" t="s">
        <v>204</v>
      </c>
      <c r="E7" s="5" t="s">
        <v>218</v>
      </c>
      <c r="F7" s="5" t="s">
        <v>216</v>
      </c>
      <c r="G7" s="5" t="s">
        <v>1</v>
      </c>
      <c r="H7" s="5" t="s">
        <v>1</v>
      </c>
    </row>
    <row r="8" spans="1:8">
      <c r="A8" s="5" t="s">
        <v>194</v>
      </c>
      <c r="B8" s="5" t="s">
        <v>199</v>
      </c>
      <c r="C8" s="5" t="s">
        <v>176</v>
      </c>
      <c r="D8" s="5" t="s">
        <v>219</v>
      </c>
      <c r="E8" s="5" t="s">
        <v>1</v>
      </c>
      <c r="F8" s="5" t="s">
        <v>1</v>
      </c>
      <c r="G8" s="5" t="s">
        <v>1</v>
      </c>
      <c r="H8" s="5" t="s">
        <v>1</v>
      </c>
    </row>
    <row r="9" spans="1:8">
      <c r="A9" s="5" t="s">
        <v>119</v>
      </c>
      <c r="B9" s="5" t="s">
        <v>220</v>
      </c>
      <c r="C9" s="5" t="s">
        <v>221</v>
      </c>
      <c r="D9" s="5" t="s">
        <v>222</v>
      </c>
      <c r="E9" s="5" t="s">
        <v>223</v>
      </c>
      <c r="F9" s="5" t="s">
        <v>224</v>
      </c>
      <c r="G9" s="5" t="s">
        <v>1</v>
      </c>
      <c r="H9" s="5" t="s">
        <v>1</v>
      </c>
    </row>
    <row r="10" spans="1:8" ht="54">
      <c r="A10" s="5" t="s">
        <v>225</v>
      </c>
      <c r="B10" s="5" t="s">
        <v>24</v>
      </c>
      <c r="C10" s="5" t="s">
        <v>1</v>
      </c>
      <c r="D10" s="5" t="s">
        <v>1</v>
      </c>
      <c r="E10" s="5" t="s">
        <v>1</v>
      </c>
      <c r="F10" s="5" t="s">
        <v>1</v>
      </c>
      <c r="G10" s="5" t="s">
        <v>1</v>
      </c>
      <c r="H10" s="5" t="s">
        <v>1</v>
      </c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>
      <c r="A16" s="5"/>
      <c r="B16" s="5"/>
      <c r="C16" s="5"/>
      <c r="D16" s="5"/>
      <c r="E16" s="5"/>
      <c r="F16" s="5"/>
      <c r="G16" s="5"/>
      <c r="H16" s="5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0"/>
  <sheetViews>
    <sheetView showGridLines="0" workbookViewId="0"/>
  </sheetViews>
  <sheetFormatPr defaultColWidth="9" defaultRowHeight="13.5"/>
  <cols>
    <col min="1" max="1" width="100" customWidth="1"/>
  </cols>
  <sheetData>
    <row r="1" spans="1:1" ht="15" customHeight="1">
      <c r="A1" s="1" t="s">
        <v>226</v>
      </c>
    </row>
    <row r="2" spans="1:1" ht="15" customHeight="1">
      <c r="A2" s="2" t="s">
        <v>1</v>
      </c>
    </row>
    <row r="3" spans="1:1" ht="15" customHeight="1">
      <c r="A3" s="2" t="s">
        <v>227</v>
      </c>
    </row>
    <row r="4" spans="1:1" ht="15" customHeight="1">
      <c r="A4" s="2" t="s">
        <v>228</v>
      </c>
    </row>
    <row r="5" spans="1:1" ht="15" customHeight="1">
      <c r="A5" s="2" t="s">
        <v>1</v>
      </c>
    </row>
    <row r="6" spans="1:1" ht="15" customHeight="1">
      <c r="A6" s="2" t="s">
        <v>229</v>
      </c>
    </row>
    <row r="7" spans="1:1" ht="15" customHeight="1">
      <c r="A7" s="2" t="s">
        <v>230</v>
      </c>
    </row>
    <row r="8" spans="1:1" ht="15" customHeight="1">
      <c r="A8" s="2" t="s">
        <v>231</v>
      </c>
    </row>
    <row r="9" spans="1:1" ht="15" customHeight="1">
      <c r="A9" s="2" t="s">
        <v>232</v>
      </c>
    </row>
    <row r="10" spans="1:1" ht="15" customHeight="1">
      <c r="A10" s="2" t="s">
        <v>233</v>
      </c>
    </row>
    <row r="11" spans="1:1" ht="15" customHeight="1">
      <c r="A11" s="2" t="s">
        <v>234</v>
      </c>
    </row>
    <row r="12" spans="1:1" ht="15" customHeight="1">
      <c r="A12" s="2" t="s">
        <v>235</v>
      </c>
    </row>
    <row r="13" spans="1:1" ht="15" customHeight="1">
      <c r="A13" s="2" t="s">
        <v>236</v>
      </c>
    </row>
    <row r="14" spans="1:1" ht="15" customHeight="1">
      <c r="A14" s="2" t="s">
        <v>237</v>
      </c>
    </row>
    <row r="15" spans="1:1" ht="15" customHeight="1">
      <c r="A15" s="2" t="s">
        <v>238</v>
      </c>
    </row>
    <row r="16" spans="1:1" ht="15" customHeight="1">
      <c r="A16" s="2" t="s">
        <v>1</v>
      </c>
    </row>
    <row r="17" spans="1:1" ht="15" customHeight="1">
      <c r="A17" s="2" t="s">
        <v>239</v>
      </c>
    </row>
    <row r="18" spans="1:1" ht="15" customHeight="1">
      <c r="A18" s="2" t="s">
        <v>240</v>
      </c>
    </row>
    <row r="19" spans="1:1" ht="15" customHeight="1">
      <c r="A19" s="2"/>
    </row>
    <row r="20" spans="1:1" ht="15" customHeight="1">
      <c r="A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00_Read_Me_CN_TR</vt:lpstr>
      <vt:lpstr>01_Agreement_Info</vt:lpstr>
      <vt:lpstr>02_Proforma_PI</vt:lpstr>
      <vt:lpstr>03_Commercial_Invoice_CI</vt:lpstr>
      <vt:lpstr>04_Packing_List_PL</vt:lpstr>
      <vt:lpstr>05_Cost_Items</vt:lpstr>
      <vt:lpstr>06_Payment_Terms</vt:lpstr>
      <vt:lpstr>07_Lists</vt:lpstr>
      <vt:lpstr>08_Message_To_China_CN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</dc:creator>
  <cp:lastModifiedBy>adem terzi</cp:lastModifiedBy>
  <dcterms:created xsi:type="dcterms:W3CDTF">2026-04-25T23:23:42Z</dcterms:created>
  <dcterms:modified xsi:type="dcterms:W3CDTF">2026-04-25T15:46:08Z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CC60B0675C8D274B61E1EC6983772030_42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