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hina Produc\cin anlaşma yeni\"/>
    </mc:Choice>
  </mc:AlternateContent>
  <xr:revisionPtr revIDLastSave="0" documentId="8_{7475450B-FF9D-4EA2-8E92-30B6BB7C6B1D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INFO" sheetId="1" r:id="rId1"/>
    <sheet name="_LABELS" sheetId="2" state="hidden" r:id="rId2"/>
    <sheet name="ITEMS" sheetId="3" r:id="rId3"/>
    <sheet name="PAYMENT" sheetId="4" r:id="rId4"/>
    <sheet name="FILES" sheetId="5" r:id="rId5"/>
  </sheets>
  <definedNames>
    <definedName name="LANG">INFO!$B$2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K3" i="3"/>
  <c r="J3" i="3"/>
  <c r="E2" i="5"/>
  <c r="D2" i="5"/>
  <c r="C2" i="5"/>
  <c r="B2" i="5"/>
  <c r="A2" i="5"/>
  <c r="G2" i="4"/>
  <c r="F2" i="4"/>
  <c r="E2" i="4"/>
  <c r="D2" i="4"/>
  <c r="C2" i="4"/>
  <c r="B2" i="4"/>
  <c r="A2" i="4"/>
  <c r="K2" i="3"/>
  <c r="J2" i="3"/>
  <c r="I2" i="3"/>
  <c r="H2" i="3"/>
  <c r="G2" i="3"/>
  <c r="F2" i="3"/>
  <c r="E2" i="3"/>
  <c r="D2" i="3"/>
  <c r="C2" i="3"/>
  <c r="B2" i="3"/>
  <c r="A2" i="3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<sst xmlns="http://schemas.openxmlformats.org/spreadsheetml/2006/main" count="174" uniqueCount="153">
  <si>
    <t>CPS 中国办公室订单 Excel</t>
  </si>
  <si>
    <t>Language / 语言</t>
  </si>
  <si>
    <t>CN</t>
  </si>
  <si>
    <t>模板版本</t>
  </si>
  <si>
    <t>v1.0</t>
  </si>
  <si>
    <t>修订日期</t>
  </si>
  <si>
    <t>2026-04-23</t>
  </si>
  <si>
    <t>订单信息</t>
  </si>
  <si>
    <t>* 必填</t>
  </si>
  <si>
    <t>USD</t>
  </si>
  <si>
    <t>SEA</t>
  </si>
  <si>
    <t>Key</t>
  </si>
  <si>
    <t>EN</t>
  </si>
  <si>
    <t>title</t>
  </si>
  <si>
    <t>CPS Çin Ofis Sipariş Excel</t>
  </si>
  <si>
    <t>language</t>
  </si>
  <si>
    <t>template_version</t>
  </si>
  <si>
    <t>Template Version</t>
  </si>
  <si>
    <t>revision_date</t>
  </si>
  <si>
    <t>Revision Date</t>
  </si>
  <si>
    <t>info_title</t>
  </si>
  <si>
    <t>ORDER INFORMATION</t>
  </si>
  <si>
    <t>order_code</t>
  </si>
  <si>
    <t>Order Code</t>
  </si>
  <si>
    <t>订单编号</t>
  </si>
  <si>
    <t>supplier_name</t>
  </si>
  <si>
    <t>Supplier Name</t>
  </si>
  <si>
    <t>供应商名称</t>
  </si>
  <si>
    <t>supplier_contact</t>
  </si>
  <si>
    <t>Supplier Contact</t>
  </si>
  <si>
    <t>供应商联系</t>
  </si>
  <si>
    <t>total_container_count</t>
  </si>
  <si>
    <t>Total Container Count</t>
  </si>
  <si>
    <t>总集装箱数</t>
  </si>
  <si>
    <t>currency</t>
  </si>
  <si>
    <t>Currency</t>
  </si>
  <si>
    <t>货币</t>
  </si>
  <si>
    <t>currency_rate</t>
  </si>
  <si>
    <t>Currency Rate (optional)</t>
  </si>
  <si>
    <t>汇率 (可选)</t>
  </si>
  <si>
    <t>shipment_type</t>
  </si>
  <si>
    <t>Shipment Type</t>
  </si>
  <si>
    <t>运输类型</t>
  </si>
  <si>
    <t>expected_etd</t>
  </si>
  <si>
    <t>Expected ETD</t>
  </si>
  <si>
    <t>预计发货日期</t>
  </si>
  <si>
    <t>expected_eta</t>
  </si>
  <si>
    <t>Expected ETA</t>
  </si>
  <si>
    <t>预计到港日期</t>
  </si>
  <si>
    <t>loading_port</t>
  </si>
  <si>
    <t>Loading Port</t>
  </si>
  <si>
    <t>装货港</t>
  </si>
  <si>
    <t>discharge_port</t>
  </si>
  <si>
    <t>Discharge Port</t>
  </si>
  <si>
    <t>卸货港</t>
  </si>
  <si>
    <t>notes</t>
  </si>
  <si>
    <t>Notes</t>
  </si>
  <si>
    <t>备注</t>
  </si>
  <si>
    <t>required_mark</t>
  </si>
  <si>
    <t>* required</t>
  </si>
  <si>
    <t>items_title</t>
  </si>
  <si>
    <t>LINE ITEMS (Container Based)</t>
  </si>
  <si>
    <t>项目明细 (按集装箱)</t>
  </si>
  <si>
    <t>line_no</t>
  </si>
  <si>
    <t>Line #</t>
  </si>
  <si>
    <t>行号</t>
  </si>
  <si>
    <t>container_group</t>
  </si>
  <si>
    <t>Container Group</t>
  </si>
  <si>
    <t>集装箱组</t>
  </si>
  <si>
    <t>container_type</t>
  </si>
  <si>
    <t>Container Type</t>
  </si>
  <si>
    <t>集装箱类型</t>
  </si>
  <si>
    <t>container_qty</t>
  </si>
  <si>
    <t>Container Qty</t>
  </si>
  <si>
    <t>集装箱数量</t>
  </si>
  <si>
    <t>quality</t>
  </si>
  <si>
    <t>Quality</t>
  </si>
  <si>
    <t>质量</t>
  </si>
  <si>
    <t>product_name</t>
  </si>
  <si>
    <t>Product Name</t>
  </si>
  <si>
    <t>产品名称</t>
  </si>
  <si>
    <t>description</t>
  </si>
  <si>
    <t>Description</t>
  </si>
  <si>
    <t>说明</t>
  </si>
  <si>
    <t>qty</t>
  </si>
  <si>
    <t>Qty</t>
  </si>
  <si>
    <t>数量</t>
  </si>
  <si>
    <t>unit</t>
  </si>
  <si>
    <t>Unit</t>
  </si>
  <si>
    <t>单位</t>
  </si>
  <si>
    <t>unit_price</t>
  </si>
  <si>
    <t>Unit Price</t>
  </si>
  <si>
    <t>单价</t>
  </si>
  <si>
    <t>weight_kg</t>
  </si>
  <si>
    <t>Weight (kg)</t>
  </si>
  <si>
    <t>重量 (公斤)</t>
  </si>
  <si>
    <t>line_total</t>
  </si>
  <si>
    <t>Line Total</t>
  </si>
  <si>
    <t>行合计</t>
  </si>
  <si>
    <t>total_items</t>
  </si>
  <si>
    <t>Total Items</t>
  </si>
  <si>
    <t>总项目数</t>
  </si>
  <si>
    <t>total_containers</t>
  </si>
  <si>
    <t>Total Containers</t>
  </si>
  <si>
    <t>grand_total</t>
  </si>
  <si>
    <t>Grand Total</t>
  </si>
  <si>
    <t>总金额</t>
  </si>
  <si>
    <t>payment_title</t>
  </si>
  <si>
    <t>PAYMENT PLAN</t>
  </si>
  <si>
    <t>付款计划</t>
  </si>
  <si>
    <t>installment</t>
  </si>
  <si>
    <t>#</t>
  </si>
  <si>
    <t>payment_type</t>
  </si>
  <si>
    <t>Type</t>
  </si>
  <si>
    <t>类型</t>
  </si>
  <si>
    <t>ratio</t>
  </si>
  <si>
    <t>Ratio (%)</t>
  </si>
  <si>
    <t>比率 (%)</t>
  </si>
  <si>
    <t>amount</t>
  </si>
  <si>
    <t>Amount</t>
  </si>
  <si>
    <t>金额</t>
  </si>
  <si>
    <t>due_date</t>
  </si>
  <si>
    <t>Due Date</t>
  </si>
  <si>
    <t>到期日</t>
  </si>
  <si>
    <t>trigger</t>
  </si>
  <si>
    <t>Trigger Event</t>
  </si>
  <si>
    <t>触发事件</t>
  </si>
  <si>
    <t>total_ratio</t>
  </si>
  <si>
    <t>Total Ratio (must be 100%)</t>
  </si>
  <si>
    <t>总比率 (必须 100%)</t>
  </si>
  <si>
    <t>total_amount</t>
  </si>
  <si>
    <t>Total Amount</t>
  </si>
  <si>
    <t>files_title</t>
  </si>
  <si>
    <t>FILE REFERENCES</t>
  </si>
  <si>
    <t>文件参考</t>
  </si>
  <si>
    <t>file_name</t>
  </si>
  <si>
    <t>File Name</t>
  </si>
  <si>
    <t>文件名</t>
  </si>
  <si>
    <t>file_type</t>
  </si>
  <si>
    <t>required</t>
  </si>
  <si>
    <t>Required (Yes/No)</t>
  </si>
  <si>
    <t>必需 (是/否)</t>
  </si>
  <si>
    <t>file_description</t>
  </si>
  <si>
    <t>描述</t>
  </si>
  <si>
    <t>东莞灯厂</t>
    <phoneticPr fontId="7" type="noConversion"/>
  </si>
  <si>
    <t>广州南沙</t>
    <phoneticPr fontId="7" type="noConversion"/>
  </si>
  <si>
    <t>土耳其伊斯坦布尔</t>
    <phoneticPr fontId="7" type="noConversion"/>
  </si>
  <si>
    <t>Break Bulk</t>
  </si>
  <si>
    <t>0.5cbm</t>
    <phoneticPr fontId="7" type="noConversion"/>
  </si>
  <si>
    <t>Main</t>
  </si>
  <si>
    <t>ligthing white color</t>
    <phoneticPr fontId="7" type="noConversion"/>
  </si>
  <si>
    <t>pair</t>
  </si>
  <si>
    <t>Pre-shipment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</si>
</sst>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97316"/>
      <name val="宋体"/>
      <charset val="134"/>
    </font>
    <font>
      <b/>
      <sz val="10"/>
      <name val="宋体"/>
      <charset val="134"/>
    </font>
    <font>
      <b/>
      <sz val="11"/>
      <color rgb="FFF97316"/>
      <name val="宋体"/>
      <charset val="134"/>
    </font>
    <font>
      <b/>
      <sz val="12"/>
      <name val="宋体"/>
      <charset val="134"/>
    </font>
    <font>
      <i/>
      <sz val="9"/>
      <color rgb="FFDC2626"/>
      <name val="宋体"/>
      <charset val="134"/>
    </font>
    <font>
      <b/>
      <sz val="11"/>
      <color rgb="FFFFFFFF"/>
      <name val="宋体"/>
      <charset val="134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9731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6B1A"/>
      </left>
      <right style="thin">
        <color rgb="FFCC6B1A"/>
      </right>
      <top style="thin">
        <color rgb="FFCC6B1A"/>
      </top>
      <bottom style="thin">
        <color rgb="FFCC6B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0" xfId="0" applyFont="1" applyFill="1"/>
    <xf numFmtId="0" fontId="0" fillId="3" borderId="2" xfId="0" applyFill="1" applyBorder="1"/>
    <xf numFmtId="0" fontId="5" fillId="0" borderId="0" xfId="0" applyFont="1"/>
    <xf numFmtId="0" fontId="6" fillId="4" borderId="3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B15" sqref="B15"/>
    </sheetView>
  </sheetViews>
  <sheetFormatPr defaultRowHeight="15"/>
  <cols>
    <col min="1" max="1" width="32" customWidth="1"/>
    <col min="2" max="2" width="40" customWidth="1"/>
    <col min="3" max="3" width="14" customWidth="1"/>
  </cols>
  <sheetData>
    <row r="1" spans="1:3" ht="18.75">
      <c r="A1" s="7" t="s">
        <v>0</v>
      </c>
      <c r="B1" s="8"/>
      <c r="C1" s="8"/>
    </row>
    <row r="2" spans="1:3">
      <c r="A2" s="1" t="s">
        <v>1</v>
      </c>
      <c r="B2" s="2" t="s">
        <v>2</v>
      </c>
    </row>
    <row r="3" spans="1:3">
      <c r="A3" s="1" t="s">
        <v>3</v>
      </c>
      <c r="B3" t="s">
        <v>4</v>
      </c>
    </row>
    <row r="4" spans="1:3">
      <c r="A4" s="1" t="s">
        <v>5</v>
      </c>
      <c r="B4" t="s">
        <v>6</v>
      </c>
    </row>
    <row r="5" spans="1:3" ht="15.75">
      <c r="A5" s="9" t="s">
        <v>7</v>
      </c>
      <c r="B5" s="8"/>
      <c r="C5" s="8"/>
    </row>
    <row r="6" spans="1:3">
      <c r="A6" s="1" t="str">
        <f>VLOOKUP("order_code",_LABELS!$A:$C,IF(LANG="EN",2,3),FALSE)</f>
        <v>订单编号</v>
      </c>
      <c r="B6" s="3">
        <v>260423</v>
      </c>
      <c r="C6" s="4" t="s">
        <v>8</v>
      </c>
    </row>
    <row r="7" spans="1:3">
      <c r="A7" s="1" t="str">
        <f>VLOOKUP("supplier_name",_LABELS!$A:$C,IF(LANG="EN",2,3),FALSE)</f>
        <v>供应商名称</v>
      </c>
      <c r="B7" s="3" t="s">
        <v>144</v>
      </c>
      <c r="C7" s="4" t="s">
        <v>8</v>
      </c>
    </row>
    <row r="8" spans="1:3">
      <c r="A8" s="1" t="str">
        <f>VLOOKUP("supplier_contact",_LABELS!$A:$C,IF(LANG="EN",2,3),FALSE)</f>
        <v>供应商联系</v>
      </c>
    </row>
    <row r="9" spans="1:3">
      <c r="A9" s="1" t="str">
        <f>VLOOKUP("total_container_count",_LABELS!$A:$C,IF(LANG="EN",2,3),FALSE)</f>
        <v>总集装箱数</v>
      </c>
      <c r="B9" s="3">
        <v>15</v>
      </c>
      <c r="C9" s="4" t="s">
        <v>8</v>
      </c>
    </row>
    <row r="10" spans="1:3">
      <c r="A10" s="1" t="str">
        <f>VLOOKUP("currency",_LABELS!$A:$C,IF(LANG="EN",2,3),FALSE)</f>
        <v>货币</v>
      </c>
      <c r="B10" s="3" t="s">
        <v>9</v>
      </c>
      <c r="C10" s="4" t="s">
        <v>8</v>
      </c>
    </row>
    <row r="11" spans="1:3">
      <c r="A11" s="1" t="str">
        <f>VLOOKUP("currency_rate",_LABELS!$A:$C,IF(LANG="EN",2,3),FALSE)</f>
        <v>汇率 (可选)</v>
      </c>
    </row>
    <row r="12" spans="1:3">
      <c r="A12" s="1" t="str">
        <f>VLOOKUP("shipment_type",_LABELS!$A:$C,IF(LANG="EN",2,3),FALSE)</f>
        <v>运输类型</v>
      </c>
      <c r="B12" s="3" t="s">
        <v>10</v>
      </c>
      <c r="C12" s="4" t="s">
        <v>8</v>
      </c>
    </row>
    <row r="13" spans="1:3">
      <c r="A13" s="1" t="str">
        <f>VLOOKUP("expected_etd",_LABELS!$A:$C,IF(LANG="EN",2,3),FALSE)</f>
        <v>预计发货日期</v>
      </c>
      <c r="B13" s="6">
        <v>46152</v>
      </c>
    </row>
    <row r="14" spans="1:3">
      <c r="A14" s="1" t="str">
        <f>VLOOKUP("expected_eta",_LABELS!$A:$C,IF(LANG="EN",2,3),FALSE)</f>
        <v>预计到港日期</v>
      </c>
      <c r="B14" s="6">
        <v>46183</v>
      </c>
    </row>
    <row r="15" spans="1:3">
      <c r="A15" s="1" t="str">
        <f>VLOOKUP("loading_port",_LABELS!$A:$C,IF(LANG="EN",2,3),FALSE)</f>
        <v>装货港</v>
      </c>
      <c r="B15" t="s">
        <v>145</v>
      </c>
    </row>
    <row r="16" spans="1:3">
      <c r="A16" s="1" t="str">
        <f>VLOOKUP("discharge_port",_LABELS!$A:$C,IF(LANG="EN",2,3),FALSE)</f>
        <v>卸货港</v>
      </c>
      <c r="B16" t="s">
        <v>146</v>
      </c>
    </row>
    <row r="17" spans="1:1">
      <c r="A17" s="1" t="str">
        <f>VLOOKUP("notes",_LABELS!$A:$C,IF(LANG="EN",2,3),FALSE)</f>
        <v>备注</v>
      </c>
    </row>
  </sheetData>
  <mergeCells count="2">
    <mergeCell ref="A1:C1"/>
    <mergeCell ref="A5:C5"/>
  </mergeCells>
  <phoneticPr fontId="7" type="noConversion"/>
  <dataValidations count="3">
    <dataValidation type="list" sqref="B10" xr:uid="{00000000-0002-0000-0000-000000000000}">
      <formula1>"USD,CNY,EUR,TRY"</formula1>
    </dataValidation>
    <dataValidation type="list" sqref="B12" xr:uid="{00000000-0002-0000-0000-000001000000}">
      <formula1>"SEA,AIR,LAND,DHL"</formula1>
    </dataValidation>
    <dataValidation type="list" sqref="B2" xr:uid="{00000000-0002-0000-0000-000002000000}">
      <formula1>"CN,EN"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5"/>
  <sheetData>
    <row r="1" spans="1:3">
      <c r="A1" t="s">
        <v>11</v>
      </c>
      <c r="B1" t="s">
        <v>12</v>
      </c>
      <c r="C1" t="s">
        <v>2</v>
      </c>
    </row>
    <row r="2" spans="1:3">
      <c r="A2" t="s">
        <v>13</v>
      </c>
      <c r="B2" t="s">
        <v>14</v>
      </c>
      <c r="C2" t="s">
        <v>0</v>
      </c>
    </row>
    <row r="3" spans="1:3">
      <c r="A3" t="s">
        <v>15</v>
      </c>
      <c r="B3" t="s">
        <v>1</v>
      </c>
      <c r="C3" t="s">
        <v>1</v>
      </c>
    </row>
    <row r="4" spans="1:3">
      <c r="A4" t="s">
        <v>16</v>
      </c>
      <c r="B4" t="s">
        <v>17</v>
      </c>
      <c r="C4" t="s">
        <v>3</v>
      </c>
    </row>
    <row r="5" spans="1:3">
      <c r="A5" t="s">
        <v>18</v>
      </c>
      <c r="B5" t="s">
        <v>19</v>
      </c>
      <c r="C5" t="s">
        <v>5</v>
      </c>
    </row>
    <row r="6" spans="1:3">
      <c r="A6" t="s">
        <v>20</v>
      </c>
      <c r="B6" t="s">
        <v>21</v>
      </c>
      <c r="C6" t="s">
        <v>7</v>
      </c>
    </row>
    <row r="7" spans="1:3">
      <c r="A7" t="s">
        <v>22</v>
      </c>
      <c r="B7" t="s">
        <v>23</v>
      </c>
      <c r="C7" t="s">
        <v>24</v>
      </c>
    </row>
    <row r="8" spans="1:3">
      <c r="A8" t="s">
        <v>25</v>
      </c>
      <c r="B8" t="s">
        <v>26</v>
      </c>
      <c r="C8" t="s">
        <v>27</v>
      </c>
    </row>
    <row r="9" spans="1:3">
      <c r="A9" t="s">
        <v>28</v>
      </c>
      <c r="B9" t="s">
        <v>29</v>
      </c>
      <c r="C9" t="s">
        <v>30</v>
      </c>
    </row>
    <row r="10" spans="1:3">
      <c r="A10" t="s">
        <v>31</v>
      </c>
      <c r="B10" t="s">
        <v>32</v>
      </c>
      <c r="C10" t="s">
        <v>33</v>
      </c>
    </row>
    <row r="11" spans="1:3">
      <c r="A11" t="s">
        <v>34</v>
      </c>
      <c r="B11" t="s">
        <v>35</v>
      </c>
      <c r="C11" t="s">
        <v>36</v>
      </c>
    </row>
    <row r="12" spans="1:3">
      <c r="A12" t="s">
        <v>37</v>
      </c>
      <c r="B12" t="s">
        <v>38</v>
      </c>
      <c r="C12" t="s">
        <v>39</v>
      </c>
    </row>
    <row r="13" spans="1:3">
      <c r="A13" t="s">
        <v>40</v>
      </c>
      <c r="B13" t="s">
        <v>41</v>
      </c>
      <c r="C13" t="s">
        <v>42</v>
      </c>
    </row>
    <row r="14" spans="1:3">
      <c r="A14" t="s">
        <v>43</v>
      </c>
      <c r="B14" t="s">
        <v>44</v>
      </c>
      <c r="C14" t="s">
        <v>45</v>
      </c>
    </row>
    <row r="15" spans="1:3">
      <c r="A15" t="s">
        <v>46</v>
      </c>
      <c r="B15" t="s">
        <v>47</v>
      </c>
      <c r="C15" t="s">
        <v>48</v>
      </c>
    </row>
    <row r="16" spans="1:3">
      <c r="A16" t="s">
        <v>49</v>
      </c>
      <c r="B16" t="s">
        <v>50</v>
      </c>
      <c r="C16" t="s">
        <v>51</v>
      </c>
    </row>
    <row r="17" spans="1:3">
      <c r="A17" t="s">
        <v>52</v>
      </c>
      <c r="B17" t="s">
        <v>53</v>
      </c>
      <c r="C17" t="s">
        <v>54</v>
      </c>
    </row>
    <row r="18" spans="1:3">
      <c r="A18" t="s">
        <v>55</v>
      </c>
      <c r="B18" t="s">
        <v>56</v>
      </c>
      <c r="C18" t="s">
        <v>57</v>
      </c>
    </row>
    <row r="19" spans="1:3">
      <c r="A19" t="s">
        <v>58</v>
      </c>
      <c r="B19" t="s">
        <v>59</v>
      </c>
      <c r="C19" t="s">
        <v>8</v>
      </c>
    </row>
    <row r="20" spans="1:3">
      <c r="A20" t="s">
        <v>60</v>
      </c>
      <c r="B20" t="s">
        <v>61</v>
      </c>
      <c r="C20" t="s">
        <v>62</v>
      </c>
    </row>
    <row r="21" spans="1:3">
      <c r="A21" t="s">
        <v>63</v>
      </c>
      <c r="B21" t="s">
        <v>64</v>
      </c>
      <c r="C21" t="s">
        <v>65</v>
      </c>
    </row>
    <row r="22" spans="1:3">
      <c r="A22" t="s">
        <v>66</v>
      </c>
      <c r="B22" t="s">
        <v>67</v>
      </c>
      <c r="C22" t="s">
        <v>68</v>
      </c>
    </row>
    <row r="23" spans="1:3">
      <c r="A23" t="s">
        <v>69</v>
      </c>
      <c r="B23" t="s">
        <v>70</v>
      </c>
      <c r="C23" t="s">
        <v>71</v>
      </c>
    </row>
    <row r="24" spans="1:3">
      <c r="A24" t="s">
        <v>72</v>
      </c>
      <c r="B24" t="s">
        <v>73</v>
      </c>
      <c r="C24" t="s">
        <v>74</v>
      </c>
    </row>
    <row r="25" spans="1:3">
      <c r="A25" t="s">
        <v>75</v>
      </c>
      <c r="B25" t="s">
        <v>76</v>
      </c>
      <c r="C25" t="s">
        <v>77</v>
      </c>
    </row>
    <row r="26" spans="1:3">
      <c r="A26" t="s">
        <v>78</v>
      </c>
      <c r="B26" t="s">
        <v>79</v>
      </c>
      <c r="C26" t="s">
        <v>80</v>
      </c>
    </row>
    <row r="27" spans="1:3">
      <c r="A27" t="s">
        <v>81</v>
      </c>
      <c r="B27" t="s">
        <v>82</v>
      </c>
      <c r="C27" t="s">
        <v>83</v>
      </c>
    </row>
    <row r="28" spans="1:3">
      <c r="A28" t="s">
        <v>84</v>
      </c>
      <c r="B28" t="s">
        <v>85</v>
      </c>
      <c r="C28" t="s">
        <v>86</v>
      </c>
    </row>
    <row r="29" spans="1:3">
      <c r="A29" t="s">
        <v>87</v>
      </c>
      <c r="B29" t="s">
        <v>88</v>
      </c>
      <c r="C29" t="s">
        <v>89</v>
      </c>
    </row>
    <row r="30" spans="1:3">
      <c r="A30" t="s">
        <v>90</v>
      </c>
      <c r="B30" t="s">
        <v>91</v>
      </c>
      <c r="C30" t="s">
        <v>92</v>
      </c>
    </row>
    <row r="31" spans="1:3">
      <c r="A31" t="s">
        <v>93</v>
      </c>
      <c r="B31" t="s">
        <v>94</v>
      </c>
      <c r="C31" t="s">
        <v>95</v>
      </c>
    </row>
    <row r="32" spans="1:3">
      <c r="A32" t="s">
        <v>96</v>
      </c>
      <c r="B32" t="s">
        <v>97</v>
      </c>
      <c r="C32" t="s">
        <v>98</v>
      </c>
    </row>
    <row r="33" spans="1:3">
      <c r="A33" t="s">
        <v>99</v>
      </c>
      <c r="B33" t="s">
        <v>100</v>
      </c>
      <c r="C33" t="s">
        <v>101</v>
      </c>
    </row>
    <row r="34" spans="1:3">
      <c r="A34" t="s">
        <v>102</v>
      </c>
      <c r="B34" t="s">
        <v>103</v>
      </c>
      <c r="C34" t="s">
        <v>33</v>
      </c>
    </row>
    <row r="35" spans="1:3">
      <c r="A35" t="s">
        <v>104</v>
      </c>
      <c r="B35" t="s">
        <v>105</v>
      </c>
      <c r="C35" t="s">
        <v>106</v>
      </c>
    </row>
    <row r="36" spans="1:3">
      <c r="A36" t="s">
        <v>107</v>
      </c>
      <c r="B36" t="s">
        <v>108</v>
      </c>
      <c r="C36" t="s">
        <v>109</v>
      </c>
    </row>
    <row r="37" spans="1:3">
      <c r="A37" t="s">
        <v>110</v>
      </c>
      <c r="B37" t="s">
        <v>111</v>
      </c>
      <c r="C37" t="s">
        <v>111</v>
      </c>
    </row>
    <row r="38" spans="1:3">
      <c r="A38" t="s">
        <v>112</v>
      </c>
      <c r="B38" t="s">
        <v>113</v>
      </c>
      <c r="C38" t="s">
        <v>114</v>
      </c>
    </row>
    <row r="39" spans="1:3">
      <c r="A39" t="s">
        <v>115</v>
      </c>
      <c r="B39" t="s">
        <v>116</v>
      </c>
      <c r="C39" t="s">
        <v>117</v>
      </c>
    </row>
    <row r="40" spans="1:3">
      <c r="A40" t="s">
        <v>118</v>
      </c>
      <c r="B40" t="s">
        <v>119</v>
      </c>
      <c r="C40" t="s">
        <v>120</v>
      </c>
    </row>
    <row r="41" spans="1:3">
      <c r="A41" t="s">
        <v>121</v>
      </c>
      <c r="B41" t="s">
        <v>122</v>
      </c>
      <c r="C41" t="s">
        <v>123</v>
      </c>
    </row>
    <row r="42" spans="1:3">
      <c r="A42" t="s">
        <v>124</v>
      </c>
      <c r="B42" t="s">
        <v>125</v>
      </c>
      <c r="C42" t="s">
        <v>126</v>
      </c>
    </row>
    <row r="43" spans="1:3">
      <c r="A43" t="s">
        <v>127</v>
      </c>
      <c r="B43" t="s">
        <v>128</v>
      </c>
      <c r="C43" t="s">
        <v>129</v>
      </c>
    </row>
    <row r="44" spans="1:3">
      <c r="A44" t="s">
        <v>130</v>
      </c>
      <c r="B44" t="s">
        <v>131</v>
      </c>
      <c r="C44" t="s">
        <v>106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113</v>
      </c>
      <c r="C47" t="s">
        <v>114</v>
      </c>
    </row>
    <row r="48" spans="1:3">
      <c r="A48" t="s">
        <v>139</v>
      </c>
      <c r="B48" t="s">
        <v>140</v>
      </c>
      <c r="C48" t="s">
        <v>141</v>
      </c>
    </row>
    <row r="49" spans="1:3">
      <c r="A49" t="s">
        <v>142</v>
      </c>
      <c r="B49" t="s">
        <v>82</v>
      </c>
      <c r="C49" t="s">
        <v>143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tabSelected="1" workbookViewId="0">
      <selection activeCell="H4" sqref="H4"/>
    </sheetView>
  </sheetViews>
  <sheetFormatPr defaultRowHeight="15"/>
  <cols>
    <col min="1" max="1" width="8" customWidth="1"/>
    <col min="2" max="3" width="16" customWidth="1"/>
    <col min="4" max="4" width="14" customWidth="1"/>
    <col min="5" max="5" width="12" customWidth="1"/>
    <col min="6" max="7" width="26" customWidth="1"/>
    <col min="8" max="8" width="12" customWidth="1"/>
    <col min="9" max="9" width="10" customWidth="1"/>
    <col min="10" max="10" width="12" customWidth="1"/>
    <col min="11" max="11" width="14" customWidth="1"/>
  </cols>
  <sheetData>
    <row r="1" spans="1:11" ht="18.75">
      <c r="A1" s="7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">
      <c r="A2" s="5" t="str">
        <f>VLOOKUP("line_no",_LABELS!$A:$C,IF(LANG="EN",2,3),FALSE)</f>
        <v>行号</v>
      </c>
      <c r="B2" s="5" t="str">
        <f>VLOOKUP("container_group",_LABELS!$A:$C,IF(LANG="EN",2,3),FALSE)</f>
        <v>集装箱组</v>
      </c>
      <c r="C2" s="5" t="str">
        <f>VLOOKUP("container_type",_LABELS!$A:$C,IF(LANG="EN",2,3),FALSE)</f>
        <v>集装箱类型</v>
      </c>
      <c r="D2" s="5" t="str">
        <f>VLOOKUP("container_qty",_LABELS!$A:$C,IF(LANG="EN",2,3),FALSE)</f>
        <v>集装箱数量</v>
      </c>
      <c r="E2" s="5" t="str">
        <f>VLOOKUP("quality",_LABELS!$A:$C,IF(LANG="EN",2,3),FALSE)</f>
        <v>质量</v>
      </c>
      <c r="F2" s="5" t="str">
        <f>VLOOKUP("product_name",_LABELS!$A:$C,IF(LANG="EN",2,3),FALSE)</f>
        <v>产品名称</v>
      </c>
      <c r="G2" s="5" t="str">
        <f>VLOOKUP("description",_LABELS!$A:$C,IF(LANG="EN",2,3),FALSE)</f>
        <v>说明</v>
      </c>
      <c r="H2" s="5" t="str">
        <f>VLOOKUP("qty",_LABELS!$A:$C,IF(LANG="EN",2,3),FALSE)</f>
        <v>数量</v>
      </c>
      <c r="I2" s="5" t="str">
        <f>VLOOKUP("unit",_LABELS!$A:$C,IF(LANG="EN",2,3),FALSE)</f>
        <v>单位</v>
      </c>
      <c r="J2" s="5" t="str">
        <f>VLOOKUP("unit_price",_LABELS!$A:$C,IF(LANG="EN",2,3),FALSE)</f>
        <v>单价</v>
      </c>
      <c r="K2" s="5" t="str">
        <f>VLOOKUP("weight_kg",_LABELS!$A:$C,IF(LANG="EN",2,3),FALSE)</f>
        <v>重量 (公斤)</v>
      </c>
    </row>
    <row r="3" spans="1:11">
      <c r="A3">
        <v>1</v>
      </c>
      <c r="C3" t="s">
        <v>147</v>
      </c>
      <c r="D3" t="s">
        <v>148</v>
      </c>
      <c r="E3" t="s">
        <v>149</v>
      </c>
      <c r="F3" t="s">
        <v>150</v>
      </c>
      <c r="H3">
        <v>15000</v>
      </c>
      <c r="I3" t="s">
        <v>151</v>
      </c>
      <c r="J3">
        <f>3.55*1.03</f>
        <v>3.6564999999999999</v>
      </c>
      <c r="K3">
        <f>28*15</f>
        <v>420</v>
      </c>
    </row>
  </sheetData>
  <mergeCells count="1">
    <mergeCell ref="A1:K1"/>
  </mergeCells>
  <phoneticPr fontId="7" type="noConversion"/>
  <dataValidations count="3">
    <dataValidation type="list" allowBlank="1" sqref="C3:C50" xr:uid="{00000000-0002-0000-0200-000000000000}">
      <formula1>"20GP,40GP,40HQ,LCL,Break Bulk"</formula1>
    </dataValidation>
    <dataValidation type="list" allowBlank="1" sqref="E3:E50" xr:uid="{00000000-0002-0000-0200-000001000000}">
      <formula1>"Main,Sample,Other"</formula1>
    </dataValidation>
    <dataValidation type="list" allowBlank="1" sqref="I3:I50" xr:uid="{00000000-0002-0000-0200-000002000000}">
      <formula1>"kg,pair,pcs,box,ton"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E4" sqref="E4"/>
    </sheetView>
  </sheetViews>
  <sheetFormatPr defaultRowHeight="15"/>
  <cols>
    <col min="1" max="1" width="8" customWidth="1"/>
    <col min="2" max="2" width="22" customWidth="1"/>
    <col min="3" max="3" width="12" customWidth="1"/>
    <col min="4" max="5" width="14" customWidth="1"/>
    <col min="6" max="6" width="28" customWidth="1"/>
    <col min="7" max="7" width="24" customWidth="1"/>
  </cols>
  <sheetData>
    <row r="1" spans="1:7" ht="18.75">
      <c r="A1" s="7" t="s">
        <v>109</v>
      </c>
      <c r="B1" s="8"/>
      <c r="C1" s="8"/>
      <c r="D1" s="8"/>
      <c r="E1" s="8"/>
      <c r="F1" s="8"/>
      <c r="G1" s="8"/>
    </row>
    <row r="2" spans="1:7">
      <c r="A2" s="5" t="str">
        <f>VLOOKUP("installment",_LABELS!$A:$C,IF(LANG="EN",2,3),FALSE)</f>
        <v>#</v>
      </c>
      <c r="B2" s="5" t="str">
        <f>VLOOKUP("payment_type",_LABELS!$A:$C,IF(LANG="EN",2,3),FALSE)</f>
        <v>类型</v>
      </c>
      <c r="C2" s="5" t="str">
        <f>VLOOKUP("ratio",_LABELS!$A:$C,IF(LANG="EN",2,3),FALSE)</f>
        <v>比率 (%)</v>
      </c>
      <c r="D2" s="5" t="str">
        <f>VLOOKUP("amount",_LABELS!$A:$C,IF(LANG="EN",2,3),FALSE)</f>
        <v>金额</v>
      </c>
      <c r="E2" s="5" t="str">
        <f>VLOOKUP("due_date",_LABELS!$A:$C,IF(LANG="EN",2,3),FALSE)</f>
        <v>到期日</v>
      </c>
      <c r="F2" s="5" t="str">
        <f>VLOOKUP("trigger",_LABELS!$A:$C,IF(LANG="EN",2,3),FALSE)</f>
        <v>触发事件</v>
      </c>
      <c r="G2" s="5" t="str">
        <f>VLOOKUP("notes",_LABELS!$A:$C,IF(LANG="EN",2,3),FALSE)</f>
        <v>备注</v>
      </c>
    </row>
    <row r="3" spans="1:7">
      <c r="B3" t="s">
        <v>152</v>
      </c>
      <c r="C3">
        <v>100</v>
      </c>
      <c r="D3">
        <f>3.55*1.03/6.8*15000</f>
        <v>8065.8088235294117</v>
      </c>
      <c r="E3" s="6">
        <v>46144</v>
      </c>
    </row>
  </sheetData>
  <mergeCells count="1">
    <mergeCell ref="A1:G1"/>
  </mergeCells>
  <phoneticPr fontId="7" type="noConversion"/>
  <dataValidations count="1">
    <dataValidation type="list" allowBlank="1" sqref="B3:B15" xr:uid="{00000000-0002-0000-0300-000000000000}">
      <formula1>"Advance TT,Pre-shipment TT,Post-shipment TT,L/C,D/A,D/P,Cash,Check,Other"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3" sqref="D3"/>
    </sheetView>
  </sheetViews>
  <sheetFormatPr defaultRowHeight="15"/>
  <cols>
    <col min="1" max="1" width="8" customWidth="1"/>
    <col min="2" max="2" width="32" customWidth="1"/>
    <col min="3" max="3" width="16" customWidth="1"/>
    <col min="4" max="4" width="12" customWidth="1"/>
    <col min="5" max="5" width="32" customWidth="1"/>
  </cols>
  <sheetData>
    <row r="1" spans="1:5" ht="18.75">
      <c r="A1" s="7" t="s">
        <v>134</v>
      </c>
      <c r="B1" s="8"/>
      <c r="C1" s="8"/>
      <c r="D1" s="8"/>
      <c r="E1" s="8"/>
    </row>
    <row r="2" spans="1:5" ht="27">
      <c r="A2" s="5" t="str">
        <f>VLOOKUP("line_no",_LABELS!$A:$C,IF(LANG="EN",2,3),FALSE)</f>
        <v>行号</v>
      </c>
      <c r="B2" s="5" t="str">
        <f>VLOOKUP("file_name",_LABELS!$A:$C,IF(LANG="EN",2,3),FALSE)</f>
        <v>文件名</v>
      </c>
      <c r="C2" s="5" t="str">
        <f>VLOOKUP("file_type",_LABELS!$A:$C,IF(LANG="EN",2,3),FALSE)</f>
        <v>类型</v>
      </c>
      <c r="D2" s="5" t="str">
        <f>VLOOKUP("required",_LABELS!$A:$C,IF(LANG="EN",2,3),FALSE)</f>
        <v>必需 (是/否)</v>
      </c>
      <c r="E2" s="5" t="str">
        <f>VLOOKUP("file_description",_LABELS!$A:$C,IF(LANG="EN",2,3),FALSE)</f>
        <v>描述</v>
      </c>
    </row>
  </sheetData>
  <mergeCells count="1">
    <mergeCell ref="A1:E1"/>
  </mergeCells>
  <phoneticPr fontId="7" type="noConversion"/>
  <dataValidations count="2">
    <dataValidation type="list" allowBlank="1" sqref="C3:C25" xr:uid="{00000000-0002-0000-0400-000000000000}">
      <formula1>"Proforma,Invoice,Image,Test Report,Certificate,Contract,Other"</formula1>
    </dataValidation>
    <dataValidation type="list" allowBlank="1" sqref="D3:D25" xr:uid="{00000000-0002-0000-04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INFO</vt:lpstr>
      <vt:lpstr>_LABELS</vt:lpstr>
      <vt:lpstr>ITEMS</vt:lpstr>
      <vt:lpstr>PAYMENT</vt:lpstr>
      <vt:lpstr>FILES</vt:lpstr>
      <vt:lpstr>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 terzi</cp:lastModifiedBy>
  <dcterms:created xsi:type="dcterms:W3CDTF">2026-04-23T05:41:46Z</dcterms:created>
  <dcterms:modified xsi:type="dcterms:W3CDTF">2026-04-23T06:47:09Z</dcterms:modified>
</cp:coreProperties>
</file>